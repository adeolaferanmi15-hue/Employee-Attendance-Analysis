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Libra Circle\Downloads\"/>
    </mc:Choice>
  </mc:AlternateContent>
  <xr:revisionPtr revIDLastSave="0" documentId="8_{77139297-EA61-4DB6-BB2F-CA792E532C9C}" xr6:coauthVersionLast="47" xr6:coauthVersionMax="47" xr10:uidLastSave="{00000000-0000-0000-0000-000000000000}"/>
  <bookViews>
    <workbookView xWindow="-110" yWindow="-110" windowWidth="19420" windowHeight="10300" activeTab="2" xr2:uid="{00000000-000D-0000-FFFF-FFFF00000000}"/>
  </bookViews>
  <sheets>
    <sheet name="Attendance_Data" sheetId="1" r:id="rId1"/>
    <sheet name="clean_data" sheetId="3" r:id="rId2"/>
    <sheet name="Analysis" sheetId="4" r:id="rId3"/>
    <sheet name="Dashboard" sheetId="6" r:id="rId4"/>
  </sheets>
  <definedNames>
    <definedName name="Slicer_Department">#N/A</definedName>
  </definedNames>
  <calcPr calcId="191029"/>
  <pivotCaches>
    <pivotCache cacheId="36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4" l="1"/>
  <c r="J4" i="4"/>
  <c r="H7" i="4"/>
  <c r="H4" i="4"/>
  <c r="M16" i="4"/>
  <c r="F27" i="4"/>
  <c r="F28" i="4"/>
  <c r="F29" i="4"/>
  <c r="F26" i="4"/>
  <c r="I14" i="4"/>
  <c r="I15" i="4"/>
  <c r="I16" i="4"/>
  <c r="I17" i="4"/>
  <c r="I18" i="4"/>
  <c r="I19" i="4"/>
  <c r="I20" i="4"/>
  <c r="I21" i="4"/>
  <c r="I22" i="4"/>
  <c r="I13" i="4"/>
</calcChain>
</file>

<file path=xl/sharedStrings.xml><?xml version="1.0" encoding="utf-8"?>
<sst xmlns="http://schemas.openxmlformats.org/spreadsheetml/2006/main" count="1612" uniqueCount="117">
  <si>
    <t>Employee_ID</t>
  </si>
  <si>
    <t>Employee_Name</t>
  </si>
  <si>
    <t>Department</t>
  </si>
  <si>
    <t>Date</t>
  </si>
  <si>
    <t>Status</t>
  </si>
  <si>
    <t>CheckIn_Time</t>
  </si>
  <si>
    <t>Work_Hours</t>
  </si>
  <si>
    <t>E001</t>
  </si>
  <si>
    <t>Ada Okafor</t>
  </si>
  <si>
    <t>Finance</t>
  </si>
  <si>
    <t>2026-02-01</t>
  </si>
  <si>
    <t>Present</t>
  </si>
  <si>
    <t>08:10</t>
  </si>
  <si>
    <t>E002</t>
  </si>
  <si>
    <t>Tunde Balogun</t>
  </si>
  <si>
    <t>operations</t>
  </si>
  <si>
    <t>02-01-2026</t>
  </si>
  <si>
    <t>Absent</t>
  </si>
  <si>
    <t xml:space="preserve"> </t>
  </si>
  <si>
    <t>E003</t>
  </si>
  <si>
    <t>Chiamaka Obi</t>
  </si>
  <si>
    <t>hr</t>
  </si>
  <si>
    <t>Late</t>
  </si>
  <si>
    <t>10:40</t>
  </si>
  <si>
    <t>E004</t>
  </si>
  <si>
    <t>Ibrahim Musa</t>
  </si>
  <si>
    <t>Ops</t>
  </si>
  <si>
    <t>E005</t>
  </si>
  <si>
    <t>Grace Adeyemi</t>
  </si>
  <si>
    <t>Marketing</t>
  </si>
  <si>
    <t>E006</t>
  </si>
  <si>
    <t>Daniel Bello</t>
  </si>
  <si>
    <t>E007</t>
  </si>
  <si>
    <t>Fatima Sadiq</t>
  </si>
  <si>
    <t>Human Resources</t>
  </si>
  <si>
    <t>01/02/2026</t>
  </si>
  <si>
    <t>10:20</t>
  </si>
  <si>
    <t>E008</t>
  </si>
  <si>
    <t>Samuel Ajayi</t>
  </si>
  <si>
    <t>08:05</t>
  </si>
  <si>
    <t>E009</t>
  </si>
  <si>
    <t>Kemi Ogun</t>
  </si>
  <si>
    <t>E010</t>
  </si>
  <si>
    <t>Victor Nwoye</t>
  </si>
  <si>
    <t>FINANCE</t>
  </si>
  <si>
    <t>9:15</t>
  </si>
  <si>
    <t>2026-02-02</t>
  </si>
  <si>
    <t>08:00</t>
  </si>
  <si>
    <t>02-02-2026</t>
  </si>
  <si>
    <t>08:20</t>
  </si>
  <si>
    <t>9:10</t>
  </si>
  <si>
    <t>marketing</t>
  </si>
  <si>
    <t>02/02/2026</t>
  </si>
  <si>
    <t>MKT</t>
  </si>
  <si>
    <t>08:15</t>
  </si>
  <si>
    <t>finance</t>
  </si>
  <si>
    <t>02-03-2026</t>
  </si>
  <si>
    <t>9:05</t>
  </si>
  <si>
    <t>03/02/2026</t>
  </si>
  <si>
    <t>HR</t>
  </si>
  <si>
    <t>2026-02-03</t>
  </si>
  <si>
    <t>02-04-2026</t>
  </si>
  <si>
    <t>2026-02-04</t>
  </si>
  <si>
    <t>04/02/2026</t>
  </si>
  <si>
    <t>Operations</t>
  </si>
  <si>
    <t>05/02/2026</t>
  </si>
  <si>
    <t>2026-02-05</t>
  </si>
  <si>
    <t>02-05-2026</t>
  </si>
  <si>
    <t>9:20</t>
  </si>
  <si>
    <t>2026-02-06</t>
  </si>
  <si>
    <t>02-06-2026</t>
  </si>
  <si>
    <t>9:30</t>
  </si>
  <si>
    <t>06/02/2026</t>
  </si>
  <si>
    <t>07/02/2026</t>
  </si>
  <si>
    <t>02-07-2026</t>
  </si>
  <si>
    <t>2026-02-07</t>
  </si>
  <si>
    <t>2026-02-08</t>
  </si>
  <si>
    <t>08/02/2026</t>
  </si>
  <si>
    <t>02-08-2026</t>
  </si>
  <si>
    <t>10:10</t>
  </si>
  <si>
    <t>09/02/2026</t>
  </si>
  <si>
    <t>02-09-2026</t>
  </si>
  <si>
    <t>2026-02-09</t>
  </si>
  <si>
    <t>10:05</t>
  </si>
  <si>
    <t>10:15</t>
  </si>
  <si>
    <t>02-10-2026</t>
  </si>
  <si>
    <t>2026-02-10</t>
  </si>
  <si>
    <t>10/02/2026</t>
  </si>
  <si>
    <t>11/02/2026</t>
  </si>
  <si>
    <t>02-11-2026</t>
  </si>
  <si>
    <t>10:30</t>
  </si>
  <si>
    <t>2026-02-11</t>
  </si>
  <si>
    <t>2026-02-12</t>
  </si>
  <si>
    <t>02-12-2026</t>
  </si>
  <si>
    <t>12/02/2026</t>
  </si>
  <si>
    <t>13/02/2026</t>
  </si>
  <si>
    <t>02-13-2026</t>
  </si>
  <si>
    <t>2026-02-13</t>
  </si>
  <si>
    <t>2026-02-14</t>
  </si>
  <si>
    <t>02-14-2026</t>
  </si>
  <si>
    <t>14/02/2026</t>
  </si>
  <si>
    <t>02-15-2026</t>
  </si>
  <si>
    <t>2026-02-15</t>
  </si>
  <si>
    <t>15/02/2026</t>
  </si>
  <si>
    <t>E011</t>
  </si>
  <si>
    <t>E012</t>
  </si>
  <si>
    <t>09:20</t>
  </si>
  <si>
    <t>Row Labels</t>
  </si>
  <si>
    <t>Grand Total</t>
  </si>
  <si>
    <t>TOTAL ATTENDANCE RECORDS</t>
  </si>
  <si>
    <t>Column Labels</t>
  </si>
  <si>
    <t>Count of Status</t>
  </si>
  <si>
    <t>TOTAL ABSENCES</t>
  </si>
  <si>
    <t>TOTAL ATTENDANCE</t>
  </si>
  <si>
    <t>TOTAL LATE ARRIVALS</t>
  </si>
  <si>
    <t>OVERALL ATTENDANCE RATE</t>
  </si>
  <si>
    <t>Late Arrivals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</si>
</sst>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hh:mm;@" x16r2:formatCode16="[$-en-NG,1]hh:m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xf numFmtId="0" fontId="0" fillId="0" borderId="1" xfId="0" applyBorder="1"/>
    <xf numFmtId="14" fontId="0" fillId="0" borderId="1" xfId="0" applyNumberFormat="1" applyBorder="1"/>
    <xf numFmtId="20" fontId="0" fillId="0" borderId="1" xfId="0" applyNumberFormat="1" applyBorder="1"/>
    <xf numFmtId="0" fontId="0" fillId="0" borderId="6" xfId="0" applyNumberFormat="1" applyBorder="1"/>
    <xf numFmtId="165" fontId="0" fillId="0" borderId="1" xfId="0" applyNumberFormat="1" applyBorder="1"/>
    <xf numFmtId="0" fontId="0" fillId="0" borderId="6" xfId="0" applyBorder="1"/>
    <xf numFmtId="0" fontId="0" fillId="0" borderId="1" xfId="0" applyNumberFormat="1" applyBorder="1"/>
    <xf numFmtId="0" fontId="0" fillId="0" borderId="7" xfId="0" applyBorder="1"/>
    <xf numFmtId="0" fontId="0" fillId="0" borderId="8" xfId="0" applyBorder="1"/>
    <xf numFmtId="14" fontId="0" fillId="0" borderId="8" xfId="0" applyNumberFormat="1" applyBorder="1"/>
    <xf numFmtId="20"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9" fontId="0" fillId="0" borderId="0" xfId="0" applyNumberFormat="1"/>
  </cellXfs>
  <cellStyles count="1">
    <cellStyle name="Normal" xfId="0" builtinId="0"/>
  </cellStyles>
  <dxfs count="15">
    <dxf>
      <font>
        <b/>
        <i val="0"/>
        <sz val="10"/>
        <color theme="7" tint="-0.24994659260841701"/>
      </font>
      <fill>
        <patternFill>
          <fgColor rgb="FF43477A"/>
          <bgColor rgb="FF43477A"/>
        </patternFill>
      </fill>
      <border diagonalUp="0" diagonalDown="0">
        <left/>
        <right/>
        <top/>
        <bottom/>
        <vertical/>
        <horizontal/>
      </border>
    </dxf>
    <dxf>
      <font>
        <color theme="0"/>
        <name val="Bahnschrift SemiLight Condensed"/>
        <family val="2"/>
        <scheme val="none"/>
      </font>
      <fill>
        <patternFill>
          <bgColor rgb="FF43477A"/>
        </patternFill>
      </fill>
      <border diagonalUp="0" diagonalDown="0">
        <left/>
        <right/>
        <top/>
        <bottom/>
        <vertical/>
        <horizontal/>
      </border>
    </dxf>
    <dxf>
      <font>
        <b/>
        <color theme="1"/>
      </font>
      <fill>
        <patternFill>
          <bgColor theme="0" tint="-0.14996795556505021"/>
        </patternFill>
      </fill>
      <border diagonalUp="0" diagonalDown="0">
        <left/>
        <right/>
        <top/>
        <bottom/>
        <vertical/>
        <horizontal/>
      </border>
    </dxf>
    <dxf>
      <font>
        <color theme="0"/>
      </font>
      <fill>
        <patternFill patternType="none">
          <bgColor auto="1"/>
        </patternFill>
      </fill>
      <border diagonalUp="0" diagonalDown="0">
        <left/>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25" formatCode="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2" defaultTableStyle="TableStyleMedium9" defaultPivotStyle="PivotStyleLight16">
    <tableStyle name="SlicerStyleLight1 2" pivot="0" table="0" count="10" xr9:uid="{44B6F254-9974-4BAE-95E3-B7DBB55096AF}">
      <tableStyleElement type="wholeTable" dxfId="1"/>
      <tableStyleElement type="headerRow" dxfId="0"/>
    </tableStyle>
    <tableStyle name="Transparent" pivot="0" table="0" count="10" xr9:uid="{2D86F544-3F17-4D6E-8976-F5ED4934E4C1}">
      <tableStyleElement type="wholeTable" dxfId="3"/>
      <tableStyleElement type="headerRow" dxfId="2"/>
    </tableStyle>
  </tableStyles>
  <colors>
    <mruColors>
      <color rgb="FF43477A"/>
      <color rgb="FF573C82"/>
      <color rgb="FF583A84"/>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rgb="FF43477A"/>
              <bgColor rgb="FF43477A"/>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theme="0"/>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rgb="FF43477A"/>
              <bgColor rgb="FF43477A"/>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rgb="FF43477A"/>
              <bgColor rgb="FF43477A"/>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rgb="FF43477A"/>
              <bgColor rgb="FF573C82"/>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rgb="FF43477A"/>
              <bgColor rgb="FF573C82"/>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theme="7" tint="-0.24994659260841701"/>
              <bgColor rgb="FF573C82"/>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theme="7" tint="-0.24994659260841701"/>
              <bgColor theme="4" tint="0.59999389629810485"/>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theme="7" tint="-0.24994659260841701"/>
              <bgColor theme="4" tint="0.59999389629810485"/>
            </patternFill>
          </fill>
          <border diagonalUp="0" diagonalDown="0">
            <left/>
            <right/>
            <top/>
            <bottom/>
            <vertical/>
            <horizontal/>
          </border>
        </dxf>
        <dxf>
          <font>
            <color rgb="FF828282"/>
          </font>
          <fill>
            <patternFill patternType="solid">
              <fgColor rgb="FFFFFFFF"/>
              <bgColor rgb="FF43477A"/>
            </patternFill>
          </fill>
          <border diagonalUp="0" diagonalDown="0">
            <left/>
            <right/>
            <top/>
            <bottom/>
            <vertical/>
            <horizontal/>
          </border>
        </dxf>
        <dxf>
          <font>
            <b val="0"/>
            <i val="0"/>
            <sz val="10"/>
            <color theme="7" tint="-0.24994659260841701"/>
          </font>
          <fill>
            <patternFill patternType="solid">
              <fgColor rgb="FFFFFFFF"/>
              <bgColor rgb="FF43477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tint="-0.14996795556505021"/>
            </patternFill>
          </fill>
          <border diagonalUp="0" diagonalDown="0">
            <left/>
            <right/>
            <top/>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Transparent">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attendance.xlsx]Analysis!PivotTable3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US" sz="900" b="0" i="0" u="none" strike="noStrike">
                <a:solidFill>
                  <a:schemeClr val="tx1"/>
                </a:solidFill>
                <a:effectLst/>
              </a:rPr>
              <a:t>Absences by Department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sz="900" b="0">
              <a:solidFill>
                <a:schemeClr val="tx1"/>
              </a:solidFill>
            </a:endParaRPr>
          </a:p>
        </c:rich>
      </c:tx>
      <c:layout>
        <c:manualLayout>
          <c:xMode val="edge"/>
          <c:yMode val="edge"/>
          <c:x val="3.8566663341739908E-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47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2581889411888"/>
          <c:y val="0.15731848516952293"/>
          <c:w val="0.6293736859012371"/>
          <c:h val="0.60111052945790255"/>
        </c:manualLayout>
      </c:layout>
      <c:barChart>
        <c:barDir val="bar"/>
        <c:grouping val="clustered"/>
        <c:varyColors val="0"/>
        <c:ser>
          <c:idx val="0"/>
          <c:order val="0"/>
          <c:tx>
            <c:strRef>
              <c:f>Analysis!$B$8</c:f>
              <c:strCache>
                <c:ptCount val="1"/>
                <c:pt idx="0">
                  <c:v>Total</c:v>
                </c:pt>
              </c:strCache>
            </c:strRef>
          </c:tx>
          <c:spPr>
            <a:solidFill>
              <a:srgbClr val="43477A"/>
            </a:solidFill>
            <a:ln>
              <a:noFill/>
            </a:ln>
            <a:effectLst/>
          </c:spPr>
          <c:invertIfNegative val="0"/>
          <c:cat>
            <c:strRef>
              <c:f>Analysis!$A$9:$A$13</c:f>
              <c:strCache>
                <c:ptCount val="4"/>
                <c:pt idx="0">
                  <c:v>Finance</c:v>
                </c:pt>
                <c:pt idx="1">
                  <c:v>HR</c:v>
                </c:pt>
                <c:pt idx="2">
                  <c:v>Marketing</c:v>
                </c:pt>
                <c:pt idx="3">
                  <c:v>Operations</c:v>
                </c:pt>
              </c:strCache>
            </c:strRef>
          </c:cat>
          <c:val>
            <c:numRef>
              <c:f>Analysis!$B$9:$B$13</c:f>
              <c:numCache>
                <c:formatCode>General</c:formatCode>
                <c:ptCount val="4"/>
                <c:pt idx="0">
                  <c:v>2</c:v>
                </c:pt>
                <c:pt idx="1">
                  <c:v>2</c:v>
                </c:pt>
                <c:pt idx="2">
                  <c:v>3</c:v>
                </c:pt>
                <c:pt idx="3">
                  <c:v>8</c:v>
                </c:pt>
              </c:numCache>
            </c:numRef>
          </c:val>
          <c:extLst>
            <c:ext xmlns:c16="http://schemas.microsoft.com/office/drawing/2014/chart" uri="{C3380CC4-5D6E-409C-BE32-E72D297353CC}">
              <c16:uniqueId val="{00000000-4FAB-47BE-8F4A-8D172FD21BEE}"/>
            </c:ext>
          </c:extLst>
        </c:ser>
        <c:dLbls>
          <c:showLegendKey val="0"/>
          <c:showVal val="0"/>
          <c:showCatName val="0"/>
          <c:showSerName val="0"/>
          <c:showPercent val="0"/>
          <c:showBubbleSize val="0"/>
        </c:dLbls>
        <c:gapWidth val="182"/>
        <c:axId val="922497168"/>
        <c:axId val="922500048"/>
      </c:barChart>
      <c:catAx>
        <c:axId val="922497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922500048"/>
        <c:crossesAt val="0"/>
        <c:auto val="1"/>
        <c:lblAlgn val="ctr"/>
        <c:lblOffset val="100"/>
        <c:noMultiLvlLbl val="0"/>
      </c:catAx>
      <c:valAx>
        <c:axId val="922500048"/>
        <c:scaling>
          <c:orientation val="minMax"/>
          <c:max val="5"/>
        </c:scaling>
        <c:delete val="1"/>
        <c:axPos val="b"/>
        <c:numFmt formatCode="General" sourceLinked="1"/>
        <c:majorTickMark val="out"/>
        <c:minorTickMark val="none"/>
        <c:tickLblPos val="nextTo"/>
        <c:crossAx val="9224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attendance.xlsx]Analysis!PivotTable4</c:name>
    <c:fmtId val="2"/>
  </c:pivotSource>
  <c:chart>
    <c:title>
      <c:tx>
        <c:rich>
          <a:bodyPr rot="0" spcFirstLastPara="1" vertOverflow="ellipsis" vert="horz" wrap="square" anchor="b" anchorCtr="1"/>
          <a:lstStyle/>
          <a:p>
            <a:pPr>
              <a:defRPr sz="1400" b="0" i="0" u="none" strike="noStrike" kern="1200" spc="0" baseline="0">
                <a:solidFill>
                  <a:schemeClr val="bg1"/>
                </a:solidFill>
                <a:latin typeface="+mn-lt"/>
                <a:ea typeface="+mn-ea"/>
                <a:cs typeface="+mn-cs"/>
              </a:defRPr>
            </a:pPr>
            <a:r>
              <a:rPr lang="en-US" sz="1800" b="0" i="0" u="none" strike="noStrike">
                <a:effectLst/>
              </a:rPr>
              <a:t> </a:t>
            </a:r>
            <a:r>
              <a:rPr lang="en-US" sz="900" b="0" i="0" u="none" strike="noStrike">
                <a:effectLst/>
              </a:rPr>
              <a:t>Late arrivals by Department</a:t>
            </a:r>
          </a:p>
        </c:rich>
      </c:tx>
      <c:layout>
        <c:manualLayout>
          <c:xMode val="edge"/>
          <c:yMode val="edge"/>
          <c:x val="2.5968680398801645E-2"/>
          <c:y val="0"/>
        </c:manualLayout>
      </c:layout>
      <c:overlay val="0"/>
      <c:spPr>
        <a:noFill/>
        <a:ln>
          <a:noFill/>
        </a:ln>
        <a:effectLst/>
      </c:spPr>
      <c:txPr>
        <a:bodyPr rot="0" spcFirstLastPara="1" vertOverflow="ellipsis" vert="horz" wrap="square" anchor="b"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08412747102432E-2"/>
          <c:y val="6.7566121800896689E-2"/>
          <c:w val="0.88764657851774986"/>
          <c:h val="0.63777741560046552"/>
        </c:manualLayout>
      </c:layout>
      <c:barChart>
        <c:barDir val="col"/>
        <c:grouping val="clustered"/>
        <c:varyColors val="0"/>
        <c:ser>
          <c:idx val="0"/>
          <c:order val="0"/>
          <c:tx>
            <c:strRef>
              <c:f>Analysis!$E$3</c:f>
              <c:strCache>
                <c:ptCount val="1"/>
                <c:pt idx="0">
                  <c:v>Total</c:v>
                </c:pt>
              </c:strCache>
            </c:strRef>
          </c:tx>
          <c:spPr>
            <a:solidFill>
              <a:schemeClr val="accent4">
                <a:lumMod val="20000"/>
                <a:lumOff val="80000"/>
              </a:schemeClr>
            </a:solidFill>
            <a:ln>
              <a:noFill/>
            </a:ln>
            <a:effectLst/>
          </c:spPr>
          <c:invertIfNegative val="0"/>
          <c:cat>
            <c:strRef>
              <c:f>Analysis!$D$4:$D$8</c:f>
              <c:strCache>
                <c:ptCount val="4"/>
                <c:pt idx="0">
                  <c:v>Marketing</c:v>
                </c:pt>
                <c:pt idx="1">
                  <c:v>Operations</c:v>
                </c:pt>
                <c:pt idx="2">
                  <c:v>HR</c:v>
                </c:pt>
                <c:pt idx="3">
                  <c:v>Finance</c:v>
                </c:pt>
              </c:strCache>
            </c:strRef>
          </c:cat>
          <c:val>
            <c:numRef>
              <c:f>Analysis!$E$4:$E$8</c:f>
              <c:numCache>
                <c:formatCode>General</c:formatCode>
                <c:ptCount val="4"/>
                <c:pt idx="0">
                  <c:v>5</c:v>
                </c:pt>
                <c:pt idx="1">
                  <c:v>6</c:v>
                </c:pt>
                <c:pt idx="2">
                  <c:v>7</c:v>
                </c:pt>
                <c:pt idx="3">
                  <c:v>8</c:v>
                </c:pt>
              </c:numCache>
            </c:numRef>
          </c:val>
          <c:extLst>
            <c:ext xmlns:c16="http://schemas.microsoft.com/office/drawing/2014/chart" uri="{C3380CC4-5D6E-409C-BE32-E72D297353CC}">
              <c16:uniqueId val="{00000000-A9DB-461B-9C32-6DC129D15017}"/>
            </c:ext>
          </c:extLst>
        </c:ser>
        <c:dLbls>
          <c:showLegendKey val="0"/>
          <c:showVal val="0"/>
          <c:showCatName val="0"/>
          <c:showSerName val="0"/>
          <c:showPercent val="0"/>
          <c:showBubbleSize val="0"/>
        </c:dLbls>
        <c:gapWidth val="30"/>
        <c:overlap val="-91"/>
        <c:axId val="96157136"/>
        <c:axId val="96165296"/>
      </c:barChart>
      <c:catAx>
        <c:axId val="9615713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b" anchorCtr="0"/>
          <a:lstStyle/>
          <a:p>
            <a:pPr>
              <a:defRPr sz="900" b="0" i="0" u="none" strike="noStrike" kern="1200" baseline="0">
                <a:solidFill>
                  <a:schemeClr val="bg1"/>
                </a:solidFill>
                <a:latin typeface="+mn-lt"/>
                <a:ea typeface="+mn-ea"/>
                <a:cs typeface="+mn-cs"/>
              </a:defRPr>
            </a:pPr>
            <a:endParaRPr lang="en-NG"/>
          </a:p>
        </c:txPr>
        <c:crossAx val="96165296"/>
        <c:crosses val="autoZero"/>
        <c:auto val="1"/>
        <c:lblAlgn val="ctr"/>
        <c:lblOffset val="50"/>
        <c:tickLblSkip val="1"/>
        <c:noMultiLvlLbl val="0"/>
      </c:catAx>
      <c:valAx>
        <c:axId val="96165296"/>
        <c:scaling>
          <c:orientation val="minMax"/>
        </c:scaling>
        <c:delete val="1"/>
        <c:axPos val="r"/>
        <c:numFmt formatCode="General" sourceLinked="1"/>
        <c:majorTickMark val="out"/>
        <c:minorTickMark val="none"/>
        <c:tickLblPos val="nextTo"/>
        <c:crossAx val="9615713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900" b="0" i="0" u="none" strike="noStrike">
                <a:solidFill>
                  <a:schemeClr val="tx1"/>
                </a:solidFill>
                <a:effectLst/>
              </a:rPr>
              <a:t>Attendance Rate per Department</a:t>
            </a:r>
          </a:p>
        </c:rich>
      </c:tx>
      <c:layout>
        <c:manualLayout>
          <c:xMode val="edge"/>
          <c:yMode val="edge"/>
          <c:x val="4.4625970352608908E-2"/>
          <c:y val="5.36627918373747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347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826996146543171E-2"/>
          <c:y val="0.12003964174390776"/>
          <c:w val="0.57056215743886962"/>
          <c:h val="0.44888122199787855"/>
        </c:manualLayout>
      </c:layout>
      <c:barChart>
        <c:barDir val="col"/>
        <c:grouping val="clustered"/>
        <c:varyColors val="0"/>
        <c:ser>
          <c:idx val="0"/>
          <c:order val="0"/>
          <c:tx>
            <c:strRef>
              <c:f>Analysis!$B$24:$B$25</c:f>
              <c:strCache>
                <c:ptCount val="1"/>
                <c:pt idx="0">
                  <c:v>Absent</c:v>
                </c:pt>
              </c:strCache>
            </c:strRef>
          </c:tx>
          <c:spPr>
            <a:solidFill>
              <a:schemeClr val="accent4">
                <a:lumMod val="40000"/>
                <a:lumOff val="60000"/>
              </a:schemeClr>
            </a:solidFill>
            <a:ln>
              <a:noFill/>
            </a:ln>
            <a:effectLst/>
          </c:spPr>
          <c:invertIfNegative val="0"/>
          <c:cat>
            <c:strRef>
              <c:f>Analysis!$A$26:$A$30</c:f>
              <c:strCache>
                <c:ptCount val="4"/>
                <c:pt idx="0">
                  <c:v>Finance</c:v>
                </c:pt>
                <c:pt idx="1">
                  <c:v>HR</c:v>
                </c:pt>
                <c:pt idx="2">
                  <c:v>Marketing</c:v>
                </c:pt>
                <c:pt idx="3">
                  <c:v>Operations</c:v>
                </c:pt>
              </c:strCache>
            </c:strRef>
          </c:cat>
          <c:val>
            <c:numRef>
              <c:f>Analysis!$B$26:$B$30</c:f>
              <c:numCache>
                <c:formatCode>General</c:formatCode>
                <c:ptCount val="4"/>
                <c:pt idx="0">
                  <c:v>2</c:v>
                </c:pt>
                <c:pt idx="1">
                  <c:v>2</c:v>
                </c:pt>
                <c:pt idx="2">
                  <c:v>3</c:v>
                </c:pt>
                <c:pt idx="3">
                  <c:v>8</c:v>
                </c:pt>
              </c:numCache>
            </c:numRef>
          </c:val>
          <c:extLst>
            <c:ext xmlns:c16="http://schemas.microsoft.com/office/drawing/2014/chart" uri="{C3380CC4-5D6E-409C-BE32-E72D297353CC}">
              <c16:uniqueId val="{00000000-BD7E-428D-9E7E-71E8584E3DA8}"/>
            </c:ext>
          </c:extLst>
        </c:ser>
        <c:ser>
          <c:idx val="1"/>
          <c:order val="1"/>
          <c:tx>
            <c:strRef>
              <c:f>Analysis!$C$24:$C$25</c:f>
              <c:strCache>
                <c:ptCount val="1"/>
                <c:pt idx="0">
                  <c:v>Late</c:v>
                </c:pt>
              </c:strCache>
            </c:strRef>
          </c:tx>
          <c:spPr>
            <a:solidFill>
              <a:schemeClr val="accent4"/>
            </a:solidFill>
            <a:ln>
              <a:noFill/>
            </a:ln>
            <a:effectLst/>
          </c:spPr>
          <c:invertIfNegative val="0"/>
          <c:cat>
            <c:strRef>
              <c:f>Analysis!$A$26:$A$30</c:f>
              <c:strCache>
                <c:ptCount val="4"/>
                <c:pt idx="0">
                  <c:v>Finance</c:v>
                </c:pt>
                <c:pt idx="1">
                  <c:v>HR</c:v>
                </c:pt>
                <c:pt idx="2">
                  <c:v>Marketing</c:v>
                </c:pt>
                <c:pt idx="3">
                  <c:v>Operations</c:v>
                </c:pt>
              </c:strCache>
            </c:strRef>
          </c:cat>
          <c:val>
            <c:numRef>
              <c:f>Analysis!$C$26:$C$30</c:f>
              <c:numCache>
                <c:formatCode>General</c:formatCode>
                <c:ptCount val="4"/>
                <c:pt idx="0">
                  <c:v>8</c:v>
                </c:pt>
                <c:pt idx="1">
                  <c:v>7</c:v>
                </c:pt>
                <c:pt idx="2">
                  <c:v>5</c:v>
                </c:pt>
                <c:pt idx="3">
                  <c:v>6</c:v>
                </c:pt>
              </c:numCache>
            </c:numRef>
          </c:val>
          <c:extLst>
            <c:ext xmlns:c16="http://schemas.microsoft.com/office/drawing/2014/chart" uri="{C3380CC4-5D6E-409C-BE32-E72D297353CC}">
              <c16:uniqueId val="{00000001-BD7E-428D-9E7E-71E8584E3DA8}"/>
            </c:ext>
          </c:extLst>
        </c:ser>
        <c:ser>
          <c:idx val="2"/>
          <c:order val="2"/>
          <c:tx>
            <c:strRef>
              <c:f>Analysis!$D$24:$D$25</c:f>
              <c:strCache>
                <c:ptCount val="1"/>
                <c:pt idx="0">
                  <c:v>Present</c:v>
                </c:pt>
              </c:strCache>
            </c:strRef>
          </c:tx>
          <c:spPr>
            <a:solidFill>
              <a:srgbClr val="43477A"/>
            </a:solidFill>
            <a:ln>
              <a:noFill/>
            </a:ln>
            <a:effectLst/>
          </c:spPr>
          <c:invertIfNegative val="0"/>
          <c:cat>
            <c:strRef>
              <c:f>Analysis!$A$26:$A$30</c:f>
              <c:strCache>
                <c:ptCount val="4"/>
                <c:pt idx="0">
                  <c:v>Finance</c:v>
                </c:pt>
                <c:pt idx="1">
                  <c:v>HR</c:v>
                </c:pt>
                <c:pt idx="2">
                  <c:v>Marketing</c:v>
                </c:pt>
                <c:pt idx="3">
                  <c:v>Operations</c:v>
                </c:pt>
              </c:strCache>
            </c:strRef>
          </c:cat>
          <c:val>
            <c:numRef>
              <c:f>Analysis!$D$26:$D$30</c:f>
              <c:numCache>
                <c:formatCode>General</c:formatCode>
                <c:ptCount val="4"/>
                <c:pt idx="0">
                  <c:v>35</c:v>
                </c:pt>
                <c:pt idx="1">
                  <c:v>21</c:v>
                </c:pt>
                <c:pt idx="2">
                  <c:v>22</c:v>
                </c:pt>
                <c:pt idx="3">
                  <c:v>31</c:v>
                </c:pt>
              </c:numCache>
            </c:numRef>
          </c:val>
          <c:extLst>
            <c:ext xmlns:c16="http://schemas.microsoft.com/office/drawing/2014/chart" uri="{C3380CC4-5D6E-409C-BE32-E72D297353CC}">
              <c16:uniqueId val="{00000002-BD7E-428D-9E7E-71E8584E3DA8}"/>
            </c:ext>
          </c:extLst>
        </c:ser>
        <c:dLbls>
          <c:showLegendKey val="0"/>
          <c:showVal val="0"/>
          <c:showCatName val="0"/>
          <c:showSerName val="0"/>
          <c:showPercent val="0"/>
          <c:showBubbleSize val="0"/>
        </c:dLbls>
        <c:gapWidth val="219"/>
        <c:overlap val="-27"/>
        <c:axId val="1759898976"/>
        <c:axId val="1759897536"/>
      </c:barChart>
      <c:catAx>
        <c:axId val="175989897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NG"/>
          </a:p>
        </c:txPr>
        <c:crossAx val="1759897536"/>
        <c:crosses val="autoZero"/>
        <c:auto val="1"/>
        <c:lblAlgn val="ctr"/>
        <c:lblOffset val="50"/>
        <c:tickLblSkip val="1"/>
        <c:noMultiLvlLbl val="0"/>
      </c:catAx>
      <c:valAx>
        <c:axId val="1759897536"/>
        <c:scaling>
          <c:orientation val="minMax"/>
        </c:scaling>
        <c:delete val="1"/>
        <c:axPos val="r"/>
        <c:numFmt formatCode="General" sourceLinked="1"/>
        <c:majorTickMark val="none"/>
        <c:minorTickMark val="none"/>
        <c:tickLblPos val="nextTo"/>
        <c:crossAx val="1759898976"/>
        <c:crosses val="max"/>
        <c:crossBetween val="between"/>
      </c:valAx>
      <c:spPr>
        <a:noFill/>
        <a:ln>
          <a:noFill/>
        </a:ln>
        <a:effectLst/>
      </c:spPr>
    </c:plotArea>
    <c:legend>
      <c:legendPos val="r"/>
      <c:layout>
        <c:manualLayout>
          <c:xMode val="edge"/>
          <c:yMode val="edge"/>
          <c:x val="0.62183954041572409"/>
          <c:y val="0.17420586572486391"/>
          <c:w val="0.23615623375843525"/>
          <c:h val="0.452114602595852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attendance.xlsx]Analysis!PivotTable6</c:name>
    <c:fmtId val="3"/>
  </c:pivotSource>
  <c:chart>
    <c:title>
      <c:tx>
        <c:rich>
          <a:bodyPr rot="0" spcFirstLastPara="1" vertOverflow="ellipsis" vert="horz" wrap="square" anchor="ctr" anchorCtr="1"/>
          <a:lstStyle/>
          <a:p>
            <a:pPr algn="l">
              <a:defRPr sz="800" b="0" i="0" u="none" strike="noStrike" kern="1200" spc="0" baseline="0">
                <a:solidFill>
                  <a:schemeClr val="tx1"/>
                </a:solidFill>
                <a:latin typeface="+mn-lt"/>
                <a:ea typeface="+mn-ea"/>
                <a:cs typeface="+mn-cs"/>
              </a:defRPr>
            </a:pPr>
            <a:r>
              <a:rPr lang="en-US" sz="800" b="0" i="0" u="none" strike="noStrike" baseline="0">
                <a:solidFill>
                  <a:schemeClr val="tx1"/>
                </a:solidFill>
              </a:rPr>
              <a:t>Attendance Status Distribution</a:t>
            </a:r>
            <a:endParaRPr lang="en-US" sz="800">
              <a:solidFill>
                <a:schemeClr val="tx1"/>
              </a:solidFill>
            </a:endParaRPr>
          </a:p>
        </c:rich>
      </c:tx>
      <c:layout>
        <c:manualLayout>
          <c:xMode val="edge"/>
          <c:yMode val="edge"/>
          <c:x val="3.5968221435532907E-3"/>
          <c:y val="9.6618357487922701E-3"/>
        </c:manualLayout>
      </c:layout>
      <c:overlay val="0"/>
      <c:spPr>
        <a:noFill/>
        <a:ln>
          <a:noFill/>
        </a:ln>
        <a:effectLst/>
      </c:spPr>
      <c:txPr>
        <a:bodyPr rot="0" spcFirstLastPara="1" vertOverflow="ellipsis" vert="horz" wrap="square" anchor="ctr" anchorCtr="1"/>
        <a:lstStyle/>
        <a:p>
          <a:pPr algn="l">
            <a:defRPr sz="8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chemeClr val="accent4">
              <a:lumMod val="40000"/>
              <a:lumOff val="60000"/>
            </a:schemeClr>
          </a:solidFill>
          <a:ln w="19050">
            <a:solidFill>
              <a:schemeClr val="lt1"/>
            </a:solidFill>
          </a:ln>
          <a:effectLst/>
        </c:spPr>
      </c:pivotFmt>
      <c:pivotFmt>
        <c:idx val="8"/>
        <c:spPr>
          <a:solidFill>
            <a:srgbClr val="43477A"/>
          </a:solidFill>
          <a:ln w="19050">
            <a:solidFill>
              <a:schemeClr val="lt1"/>
            </a:solidFill>
          </a:ln>
          <a:effectLst/>
        </c:spPr>
      </c:pivotFmt>
    </c:pivotFmts>
    <c:plotArea>
      <c:layout>
        <c:manualLayout>
          <c:layoutTarget val="inner"/>
          <c:xMode val="edge"/>
          <c:yMode val="edge"/>
          <c:x val="0.28174325070913847"/>
          <c:y val="0.14442770740613944"/>
          <c:w val="0.39960830361432909"/>
          <c:h val="0.55742477842443616"/>
        </c:manualLayout>
      </c:layout>
      <c:doughnutChart>
        <c:varyColors val="1"/>
        <c:ser>
          <c:idx val="0"/>
          <c:order val="0"/>
          <c:tx>
            <c:strRef>
              <c:f>Analysis!$L$15</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4663-4E4F-A1FC-72CCECDCE07B}"/>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4663-4E4F-A1FC-72CCECDCE07B}"/>
              </c:ext>
            </c:extLst>
          </c:dPt>
          <c:dPt>
            <c:idx val="2"/>
            <c:bubble3D val="0"/>
            <c:spPr>
              <a:solidFill>
                <a:srgbClr val="43477A"/>
              </a:solidFill>
              <a:ln w="19050">
                <a:solidFill>
                  <a:schemeClr val="lt1"/>
                </a:solidFill>
              </a:ln>
              <a:effectLst/>
            </c:spPr>
            <c:extLst>
              <c:ext xmlns:c16="http://schemas.microsoft.com/office/drawing/2014/chart" uri="{C3380CC4-5D6E-409C-BE32-E72D297353CC}">
                <c16:uniqueId val="{00000005-4663-4E4F-A1FC-72CCECDCE07B}"/>
              </c:ext>
            </c:extLst>
          </c:dPt>
          <c:cat>
            <c:strRef>
              <c:f>Analysis!$K$16:$K$19</c:f>
              <c:strCache>
                <c:ptCount val="3"/>
                <c:pt idx="0">
                  <c:v>Absent</c:v>
                </c:pt>
                <c:pt idx="1">
                  <c:v>Late</c:v>
                </c:pt>
                <c:pt idx="2">
                  <c:v>Present</c:v>
                </c:pt>
              </c:strCache>
            </c:strRef>
          </c:cat>
          <c:val>
            <c:numRef>
              <c:f>Analysis!$L$16:$L$19</c:f>
              <c:numCache>
                <c:formatCode>General</c:formatCode>
                <c:ptCount val="3"/>
                <c:pt idx="0">
                  <c:v>15</c:v>
                </c:pt>
                <c:pt idx="1">
                  <c:v>26</c:v>
                </c:pt>
                <c:pt idx="2">
                  <c:v>109</c:v>
                </c:pt>
              </c:numCache>
            </c:numRef>
          </c:val>
          <c:extLst>
            <c:ext xmlns:c16="http://schemas.microsoft.com/office/drawing/2014/chart" uri="{C3380CC4-5D6E-409C-BE32-E72D297353CC}">
              <c16:uniqueId val="{00000006-4663-4E4F-A1FC-72CCECDCE07B}"/>
            </c:ext>
          </c:extLst>
        </c:ser>
        <c:dLbls>
          <c:showLegendKey val="0"/>
          <c:showVal val="0"/>
          <c:showCatName val="0"/>
          <c:showSerName val="0"/>
          <c:showPercent val="0"/>
          <c:showBubbleSize val="0"/>
          <c:showLeaderLines val="1"/>
        </c:dLbls>
        <c:firstSliceAng val="0"/>
        <c:holeSize val="78"/>
      </c:doughnutChart>
      <c:spPr>
        <a:noFill/>
        <a:ln>
          <a:noFill/>
        </a:ln>
        <a:effectLst/>
      </c:spPr>
    </c:plotArea>
    <c:legend>
      <c:legendPos val="b"/>
      <c:layout>
        <c:manualLayout>
          <c:xMode val="edge"/>
          <c:yMode val="edge"/>
          <c:x val="0"/>
          <c:y val="0.6304325002852903"/>
          <c:w val="1"/>
          <c:h val="0.3115964852219559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349248</xdr:colOff>
      <xdr:row>4</xdr:row>
      <xdr:rowOff>114300</xdr:rowOff>
    </xdr:from>
    <xdr:to>
      <xdr:col>15</xdr:col>
      <xdr:colOff>476248</xdr:colOff>
      <xdr:row>24</xdr:row>
      <xdr:rowOff>127000</xdr:rowOff>
    </xdr:to>
    <xdr:sp macro="" textlink="">
      <xdr:nvSpPr>
        <xdr:cNvPr id="2" name="Rectangle 1">
          <a:extLst>
            <a:ext uri="{FF2B5EF4-FFF2-40B4-BE49-F238E27FC236}">
              <a16:creationId xmlns:a16="http://schemas.microsoft.com/office/drawing/2014/main" id="{A23F3863-1397-B7AB-6E75-777791E61B51}"/>
            </a:ext>
          </a:extLst>
        </xdr:cNvPr>
        <xdr:cNvSpPr/>
      </xdr:nvSpPr>
      <xdr:spPr>
        <a:xfrm>
          <a:off x="2182811" y="844550"/>
          <a:ext cx="7461250" cy="36639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349250</xdr:colOff>
      <xdr:row>0</xdr:row>
      <xdr:rowOff>0</xdr:rowOff>
    </xdr:from>
    <xdr:to>
      <xdr:col>15</xdr:col>
      <xdr:colOff>482600</xdr:colOff>
      <xdr:row>4</xdr:row>
      <xdr:rowOff>120650</xdr:rowOff>
    </xdr:to>
    <xdr:sp macro="" textlink="">
      <xdr:nvSpPr>
        <xdr:cNvPr id="3" name="Rectangle: Top Corners Rounded 2">
          <a:extLst>
            <a:ext uri="{FF2B5EF4-FFF2-40B4-BE49-F238E27FC236}">
              <a16:creationId xmlns:a16="http://schemas.microsoft.com/office/drawing/2014/main" id="{83EB9FB1-2493-23A8-3DA3-8516E7A63E77}"/>
            </a:ext>
          </a:extLst>
        </xdr:cNvPr>
        <xdr:cNvSpPr/>
      </xdr:nvSpPr>
      <xdr:spPr>
        <a:xfrm>
          <a:off x="2178050" y="0"/>
          <a:ext cx="7448550" cy="857250"/>
        </a:xfrm>
        <a:prstGeom prst="round2SameRect">
          <a:avLst/>
        </a:prstGeom>
        <a:solidFill>
          <a:srgbClr val="4347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Bahnschrift SemiLight Condensed" panose="020B0502040204020203" pitchFamily="34" charset="0"/>
            </a:rPr>
            <a:t>Employee Attendance &amp; Productivity Dashboard</a:t>
          </a:r>
          <a:endParaRPr lang="en-NG" sz="1600">
            <a:latin typeface="Bahnschrift SemiLight Condensed" panose="020B0502040204020203" pitchFamily="34" charset="0"/>
          </a:endParaRPr>
        </a:p>
      </xdr:txBody>
    </xdr:sp>
    <xdr:clientData/>
  </xdr:twoCellAnchor>
  <xdr:twoCellAnchor>
    <xdr:from>
      <xdr:col>3</xdr:col>
      <xdr:colOff>444500</xdr:colOff>
      <xdr:row>1</xdr:row>
      <xdr:rowOff>115887</xdr:rowOff>
    </xdr:from>
    <xdr:to>
      <xdr:col>13</xdr:col>
      <xdr:colOff>285750</xdr:colOff>
      <xdr:row>3</xdr:row>
      <xdr:rowOff>39687</xdr:rowOff>
    </xdr:to>
    <xdr:sp macro="" textlink="">
      <xdr:nvSpPr>
        <xdr:cNvPr id="5121" name="Text Box 1">
          <a:extLst>
            <a:ext uri="{FF2B5EF4-FFF2-40B4-BE49-F238E27FC236}">
              <a16:creationId xmlns:a16="http://schemas.microsoft.com/office/drawing/2014/main" id="{434D368D-3559-47AD-421C-05D3309B1796}"/>
            </a:ext>
          </a:extLst>
        </xdr:cNvPr>
        <xdr:cNvSpPr txBox="1">
          <a:spLocks noChangeArrowheads="1"/>
        </xdr:cNvSpPr>
      </xdr:nvSpPr>
      <xdr:spPr bwMode="auto">
        <a:xfrm>
          <a:off x="2278063" y="298450"/>
          <a:ext cx="5953125" cy="288925"/>
        </a:xfrm>
        <a:prstGeom prst="rect">
          <a:avLst/>
        </a:prstGeom>
        <a:solidFill>
          <a:srgbClr val="43477A"/>
        </a:solidFill>
        <a:ln w="9525">
          <a:noFill/>
          <a:miter lim="800000"/>
          <a:headEnd/>
          <a:tailEnd/>
        </a:ln>
      </xdr:spPr>
      <xdr:txBody>
        <a:bodyPr vertOverflow="clip" wrap="square" lIns="36576" tIns="36576" rIns="0" bIns="0" anchor="t" upright="1"/>
        <a:lstStyle/>
        <a:p>
          <a:pPr algn="l" rtl="0">
            <a:defRPr sz="1000"/>
          </a:pPr>
          <a:r>
            <a:rPr lang="en-NG" sz="900" b="0" i="0" u="none" strike="noStrike" baseline="0">
              <a:solidFill>
                <a:schemeClr val="bg1"/>
              </a:solidFill>
              <a:latin typeface="Bahnschrift SemiLight Condensed" panose="020B0502040204020203" pitchFamily="34" charset="0"/>
              <a:ea typeface="Calibri"/>
              <a:cs typeface="Calibri"/>
            </a:rPr>
            <a:t>Attendance patterns, lateness trends, and workforce participation across departments</a:t>
          </a:r>
          <a:r>
            <a:rPr lang="en-NG" sz="900" b="0" i="0" u="none" strike="noStrike" baseline="0">
              <a:solidFill>
                <a:schemeClr val="bg1"/>
              </a:solidFill>
              <a:latin typeface="Calibri"/>
              <a:ea typeface="Calibri"/>
              <a:cs typeface="Calibri"/>
            </a:rPr>
            <a:t>.</a:t>
          </a:r>
        </a:p>
      </xdr:txBody>
    </xdr:sp>
    <xdr:clientData/>
  </xdr:twoCellAnchor>
  <xdr:twoCellAnchor>
    <xdr:from>
      <xdr:col>3</xdr:col>
      <xdr:colOff>546885</xdr:colOff>
      <xdr:row>3</xdr:row>
      <xdr:rowOff>55937</xdr:rowOff>
    </xdr:from>
    <xdr:to>
      <xdr:col>6</xdr:col>
      <xdr:colOff>254785</xdr:colOff>
      <xdr:row>7</xdr:row>
      <xdr:rowOff>87687</xdr:rowOff>
    </xdr:to>
    <xdr:sp macro="" textlink="">
      <xdr:nvSpPr>
        <xdr:cNvPr id="4" name="Rectangle: Rounded Corners 3">
          <a:extLst>
            <a:ext uri="{FF2B5EF4-FFF2-40B4-BE49-F238E27FC236}">
              <a16:creationId xmlns:a16="http://schemas.microsoft.com/office/drawing/2014/main" id="{E7F64A1E-FB41-66B8-7860-C804427E0B60}"/>
            </a:ext>
          </a:extLst>
        </xdr:cNvPr>
        <xdr:cNvSpPr/>
      </xdr:nvSpPr>
      <xdr:spPr>
        <a:xfrm>
          <a:off x="2366267" y="612454"/>
          <a:ext cx="1527282" cy="77377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442907</xdr:colOff>
      <xdr:row>3</xdr:row>
      <xdr:rowOff>55937</xdr:rowOff>
    </xdr:from>
    <xdr:to>
      <xdr:col>9</xdr:col>
      <xdr:colOff>150807</xdr:colOff>
      <xdr:row>7</xdr:row>
      <xdr:rowOff>87687</xdr:rowOff>
    </xdr:to>
    <xdr:sp macro="" textlink="">
      <xdr:nvSpPr>
        <xdr:cNvPr id="5" name="Rectangle: Rounded Corners 4">
          <a:extLst>
            <a:ext uri="{FF2B5EF4-FFF2-40B4-BE49-F238E27FC236}">
              <a16:creationId xmlns:a16="http://schemas.microsoft.com/office/drawing/2014/main" id="{3C6C8822-DFE4-4D10-9136-D0AED6A078E4}"/>
            </a:ext>
          </a:extLst>
        </xdr:cNvPr>
        <xdr:cNvSpPr/>
      </xdr:nvSpPr>
      <xdr:spPr>
        <a:xfrm>
          <a:off x="4081671" y="612454"/>
          <a:ext cx="1527282" cy="77377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338929</xdr:colOff>
      <xdr:row>3</xdr:row>
      <xdr:rowOff>55937</xdr:rowOff>
    </xdr:from>
    <xdr:to>
      <xdr:col>12</xdr:col>
      <xdr:colOff>46829</xdr:colOff>
      <xdr:row>7</xdr:row>
      <xdr:rowOff>87687</xdr:rowOff>
    </xdr:to>
    <xdr:sp macro="" textlink="">
      <xdr:nvSpPr>
        <xdr:cNvPr id="6" name="Rectangle: Rounded Corners 5">
          <a:extLst>
            <a:ext uri="{FF2B5EF4-FFF2-40B4-BE49-F238E27FC236}">
              <a16:creationId xmlns:a16="http://schemas.microsoft.com/office/drawing/2014/main" id="{2FAE3DC7-0BDE-4DA3-9EF7-08415B383034}"/>
            </a:ext>
          </a:extLst>
        </xdr:cNvPr>
        <xdr:cNvSpPr/>
      </xdr:nvSpPr>
      <xdr:spPr>
        <a:xfrm>
          <a:off x="5797075" y="612454"/>
          <a:ext cx="1527282" cy="77377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234950</xdr:colOff>
      <xdr:row>3</xdr:row>
      <xdr:rowOff>55937</xdr:rowOff>
    </xdr:from>
    <xdr:to>
      <xdr:col>14</xdr:col>
      <xdr:colOff>552450</xdr:colOff>
      <xdr:row>7</xdr:row>
      <xdr:rowOff>87687</xdr:rowOff>
    </xdr:to>
    <xdr:sp macro="" textlink="">
      <xdr:nvSpPr>
        <xdr:cNvPr id="7" name="Rectangle: Rounded Corners 6">
          <a:extLst>
            <a:ext uri="{FF2B5EF4-FFF2-40B4-BE49-F238E27FC236}">
              <a16:creationId xmlns:a16="http://schemas.microsoft.com/office/drawing/2014/main" id="{776D564F-F623-4216-8AA5-71863093B128}"/>
            </a:ext>
          </a:extLst>
        </xdr:cNvPr>
        <xdr:cNvSpPr/>
      </xdr:nvSpPr>
      <xdr:spPr>
        <a:xfrm>
          <a:off x="7512478" y="612454"/>
          <a:ext cx="1530421" cy="773772"/>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6</xdr:col>
      <xdr:colOff>442360</xdr:colOff>
      <xdr:row>3</xdr:row>
      <xdr:rowOff>107023</xdr:rowOff>
    </xdr:from>
    <xdr:to>
      <xdr:col>7</xdr:col>
      <xdr:colOff>142696</xdr:colOff>
      <xdr:row>5</xdr:row>
      <xdr:rowOff>42809</xdr:rowOff>
    </xdr:to>
    <xdr:pic>
      <xdr:nvPicPr>
        <xdr:cNvPr id="9" name="Graphic 8" descr="Checkbox Crossed with solid fill">
          <a:extLst>
            <a:ext uri="{FF2B5EF4-FFF2-40B4-BE49-F238E27FC236}">
              <a16:creationId xmlns:a16="http://schemas.microsoft.com/office/drawing/2014/main" id="{0444BD2A-F7BC-D4B3-50D3-4698A00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81124" y="663540"/>
          <a:ext cx="306797" cy="306797"/>
        </a:xfrm>
        <a:prstGeom prst="rect">
          <a:avLst/>
        </a:prstGeom>
      </xdr:spPr>
    </xdr:pic>
    <xdr:clientData/>
  </xdr:twoCellAnchor>
  <xdr:twoCellAnchor editAs="oneCell">
    <xdr:from>
      <xdr:col>12</xdr:col>
      <xdr:colOff>285730</xdr:colOff>
      <xdr:row>3</xdr:row>
      <xdr:rowOff>157303</xdr:rowOff>
    </xdr:from>
    <xdr:to>
      <xdr:col>12</xdr:col>
      <xdr:colOff>499438</xdr:colOff>
      <xdr:row>5</xdr:row>
      <xdr:rowOff>0</xdr:rowOff>
    </xdr:to>
    <xdr:pic>
      <xdr:nvPicPr>
        <xdr:cNvPr id="13" name="Graphic 12" descr="Bar chart with solid fill">
          <a:extLst>
            <a:ext uri="{FF2B5EF4-FFF2-40B4-BE49-F238E27FC236}">
              <a16:creationId xmlns:a16="http://schemas.microsoft.com/office/drawing/2014/main" id="{CBC14362-A90B-7077-DF34-6191DA0958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63258" y="713820"/>
          <a:ext cx="213708" cy="213708"/>
        </a:xfrm>
        <a:prstGeom prst="rect">
          <a:avLst/>
        </a:prstGeom>
      </xdr:spPr>
    </xdr:pic>
    <xdr:clientData/>
  </xdr:twoCellAnchor>
  <xdr:twoCellAnchor editAs="oneCell">
    <xdr:from>
      <xdr:col>9</xdr:col>
      <xdr:colOff>350450</xdr:colOff>
      <xdr:row>3</xdr:row>
      <xdr:rowOff>136406</xdr:rowOff>
    </xdr:from>
    <xdr:to>
      <xdr:col>9</xdr:col>
      <xdr:colOff>599325</xdr:colOff>
      <xdr:row>5</xdr:row>
      <xdr:rowOff>14270</xdr:rowOff>
    </xdr:to>
    <xdr:pic>
      <xdr:nvPicPr>
        <xdr:cNvPr id="19" name="Graphic 18" descr="Alarm clock with solid fill">
          <a:extLst>
            <a:ext uri="{FF2B5EF4-FFF2-40B4-BE49-F238E27FC236}">
              <a16:creationId xmlns:a16="http://schemas.microsoft.com/office/drawing/2014/main" id="{1BA35B19-34FC-4B83-0AAF-A7537B3CAB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08596" y="692923"/>
          <a:ext cx="248875" cy="248875"/>
        </a:xfrm>
        <a:prstGeom prst="rect">
          <a:avLst/>
        </a:prstGeom>
      </xdr:spPr>
    </xdr:pic>
    <xdr:clientData/>
  </xdr:twoCellAnchor>
  <xdr:twoCellAnchor editAs="oneCell">
    <xdr:from>
      <xdr:col>4</xdr:col>
      <xdr:colOff>15620</xdr:colOff>
      <xdr:row>3</xdr:row>
      <xdr:rowOff>136912</xdr:rowOff>
    </xdr:from>
    <xdr:to>
      <xdr:col>4</xdr:col>
      <xdr:colOff>249720</xdr:colOff>
      <xdr:row>5</xdr:row>
      <xdr:rowOff>1</xdr:rowOff>
    </xdr:to>
    <xdr:pic>
      <xdr:nvPicPr>
        <xdr:cNvPr id="25" name="Graphic 24" descr="Podium with solid fill">
          <a:extLst>
            <a:ext uri="{FF2B5EF4-FFF2-40B4-BE49-F238E27FC236}">
              <a16:creationId xmlns:a16="http://schemas.microsoft.com/office/drawing/2014/main" id="{85675F40-BD3C-C80E-BA3B-E52D35943E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41463" y="693429"/>
          <a:ext cx="234100" cy="234100"/>
        </a:xfrm>
        <a:prstGeom prst="rect">
          <a:avLst/>
        </a:prstGeom>
      </xdr:spPr>
    </xdr:pic>
    <xdr:clientData/>
  </xdr:twoCellAnchor>
  <xdr:twoCellAnchor>
    <xdr:from>
      <xdr:col>4</xdr:col>
      <xdr:colOff>285393</xdr:colOff>
      <xdr:row>3</xdr:row>
      <xdr:rowOff>121293</xdr:rowOff>
    </xdr:from>
    <xdr:to>
      <xdr:col>6</xdr:col>
      <xdr:colOff>221180</xdr:colOff>
      <xdr:row>6</xdr:row>
      <xdr:rowOff>62787</xdr:rowOff>
    </xdr:to>
    <xdr:sp macro="" textlink="">
      <xdr:nvSpPr>
        <xdr:cNvPr id="5123" name="Text Box 3">
          <a:extLst>
            <a:ext uri="{FF2B5EF4-FFF2-40B4-BE49-F238E27FC236}">
              <a16:creationId xmlns:a16="http://schemas.microsoft.com/office/drawing/2014/main" id="{E3D3F5AA-A12F-0758-FE19-3D8FAAF8AE55}"/>
            </a:ext>
          </a:extLst>
        </xdr:cNvPr>
        <xdr:cNvSpPr txBox="1">
          <a:spLocks noChangeArrowheads="1"/>
        </xdr:cNvSpPr>
      </xdr:nvSpPr>
      <xdr:spPr bwMode="auto">
        <a:xfrm>
          <a:off x="2711236" y="677810"/>
          <a:ext cx="1148708" cy="498011"/>
        </a:xfrm>
        <a:prstGeom prst="rect">
          <a:avLst/>
        </a:prstGeom>
        <a:noFill/>
        <a:ln w="9525">
          <a:noFill/>
          <a:miter lim="800000"/>
          <a:headEnd/>
          <a:tailEnd/>
        </a:ln>
      </xdr:spPr>
      <xdr:txBody>
        <a:bodyPr vertOverflow="clip" wrap="square" lIns="36576" tIns="32004" rIns="0" bIns="0" anchor="t" upright="1"/>
        <a:lstStyle/>
        <a:p>
          <a:pPr algn="l" rtl="0">
            <a:defRPr sz="1000"/>
          </a:pPr>
          <a:r>
            <a:rPr lang="en-NG" sz="1100" b="0" i="0" u="none" strike="noStrike" baseline="0">
              <a:solidFill>
                <a:srgbClr val="000000"/>
              </a:solidFill>
              <a:latin typeface="Calibri"/>
              <a:ea typeface="Calibri"/>
              <a:cs typeface="Calibri"/>
            </a:rPr>
            <a:t>Total Attendance</a:t>
          </a:r>
          <a:endParaRPr lang="en-US" sz="1100" b="0" i="0" u="none" strike="noStrike" baseline="0">
            <a:solidFill>
              <a:srgbClr val="000000"/>
            </a:solidFill>
            <a:latin typeface="Calibri"/>
            <a:ea typeface="Calibri"/>
            <a:cs typeface="Calibri"/>
          </a:endParaRPr>
        </a:p>
      </xdr:txBody>
    </xdr:sp>
    <xdr:clientData/>
  </xdr:twoCellAnchor>
  <xdr:twoCellAnchor>
    <xdr:from>
      <xdr:col>7</xdr:col>
      <xdr:colOff>185505</xdr:colOff>
      <xdr:row>3</xdr:row>
      <xdr:rowOff>114157</xdr:rowOff>
    </xdr:from>
    <xdr:to>
      <xdr:col>9</xdr:col>
      <xdr:colOff>310793</xdr:colOff>
      <xdr:row>6</xdr:row>
      <xdr:rowOff>55651</xdr:rowOff>
    </xdr:to>
    <xdr:sp macro="" textlink="">
      <xdr:nvSpPr>
        <xdr:cNvPr id="5124" name="Text Box 4">
          <a:extLst>
            <a:ext uri="{FF2B5EF4-FFF2-40B4-BE49-F238E27FC236}">
              <a16:creationId xmlns:a16="http://schemas.microsoft.com/office/drawing/2014/main" id="{10E27C29-23C6-7A27-A696-3A5894B26F7C}"/>
            </a:ext>
          </a:extLst>
        </xdr:cNvPr>
        <xdr:cNvSpPr txBox="1">
          <a:spLocks noChangeArrowheads="1"/>
        </xdr:cNvSpPr>
      </xdr:nvSpPr>
      <xdr:spPr bwMode="auto">
        <a:xfrm>
          <a:off x="4430730" y="670674"/>
          <a:ext cx="1338209" cy="498011"/>
        </a:xfrm>
        <a:prstGeom prst="rect">
          <a:avLst/>
        </a:prstGeom>
        <a:noFill/>
        <a:ln w="9525">
          <a:noFill/>
          <a:miter lim="800000"/>
          <a:headEnd/>
          <a:tailEnd/>
        </a:ln>
      </xdr:spPr>
      <xdr:txBody>
        <a:bodyPr vertOverflow="clip" wrap="square" lIns="36576" tIns="32004" rIns="0" bIns="0" anchor="t" upright="1"/>
        <a:lstStyle/>
        <a:p>
          <a:pPr algn="l" rtl="0">
            <a:defRPr sz="1000"/>
          </a:pPr>
          <a:r>
            <a:rPr lang="en-NG" sz="1100" b="0" i="0" u="none" strike="noStrike" baseline="0">
              <a:solidFill>
                <a:srgbClr val="000000"/>
              </a:solidFill>
              <a:latin typeface="Calibri"/>
              <a:ea typeface="Calibri"/>
              <a:cs typeface="Calibri"/>
            </a:rPr>
            <a:t>Total Absences</a:t>
          </a:r>
        </a:p>
      </xdr:txBody>
    </xdr:sp>
    <xdr:clientData/>
  </xdr:twoCellAnchor>
  <xdr:twoCellAnchor>
    <xdr:from>
      <xdr:col>10</xdr:col>
      <xdr:colOff>99888</xdr:colOff>
      <xdr:row>3</xdr:row>
      <xdr:rowOff>99887</xdr:rowOff>
    </xdr:from>
    <xdr:to>
      <xdr:col>11</xdr:col>
      <xdr:colOff>446356</xdr:colOff>
      <xdr:row>6</xdr:row>
      <xdr:rowOff>41382</xdr:rowOff>
    </xdr:to>
    <xdr:sp macro="" textlink="">
      <xdr:nvSpPr>
        <xdr:cNvPr id="5125" name="Text Box 5">
          <a:extLst>
            <a:ext uri="{FF2B5EF4-FFF2-40B4-BE49-F238E27FC236}">
              <a16:creationId xmlns:a16="http://schemas.microsoft.com/office/drawing/2014/main" id="{345B4B93-835D-5311-40F4-63FE632336C4}"/>
            </a:ext>
          </a:extLst>
        </xdr:cNvPr>
        <xdr:cNvSpPr txBox="1">
          <a:spLocks noChangeArrowheads="1"/>
        </xdr:cNvSpPr>
      </xdr:nvSpPr>
      <xdr:spPr bwMode="auto">
        <a:xfrm>
          <a:off x="6164495" y="656404"/>
          <a:ext cx="952928" cy="498012"/>
        </a:xfrm>
        <a:prstGeom prst="rect">
          <a:avLst/>
        </a:prstGeom>
        <a:noFill/>
        <a:ln w="9525">
          <a:noFill/>
          <a:miter lim="800000"/>
          <a:headEnd/>
          <a:tailEnd/>
        </a:ln>
      </xdr:spPr>
      <xdr:txBody>
        <a:bodyPr vertOverflow="clip" wrap="square" lIns="36576" tIns="32004" rIns="0" bIns="0" anchor="t" upright="1"/>
        <a:lstStyle/>
        <a:p>
          <a:pPr algn="l" rtl="0">
            <a:defRPr sz="1000"/>
          </a:pPr>
          <a:r>
            <a:rPr lang="en-NG" sz="1100" b="0" i="0" u="none" strike="noStrike" baseline="0">
              <a:solidFill>
                <a:srgbClr val="000000"/>
              </a:solidFill>
              <a:latin typeface="Calibri"/>
              <a:ea typeface="Calibri"/>
              <a:cs typeface="Calibri"/>
            </a:rPr>
            <a:t>Late Arrivals</a:t>
          </a:r>
        </a:p>
      </xdr:txBody>
    </xdr:sp>
    <xdr:clientData/>
  </xdr:twoCellAnchor>
  <xdr:twoCellAnchor>
    <xdr:from>
      <xdr:col>12</xdr:col>
      <xdr:colOff>520845</xdr:colOff>
      <xdr:row>3</xdr:row>
      <xdr:rowOff>107024</xdr:rowOff>
    </xdr:from>
    <xdr:to>
      <xdr:col>14</xdr:col>
      <xdr:colOff>396414</xdr:colOff>
      <xdr:row>6</xdr:row>
      <xdr:rowOff>48518</xdr:rowOff>
    </xdr:to>
    <xdr:sp macro="" textlink="">
      <xdr:nvSpPr>
        <xdr:cNvPr id="5126" name="Text Box 6">
          <a:extLst>
            <a:ext uri="{FF2B5EF4-FFF2-40B4-BE49-F238E27FC236}">
              <a16:creationId xmlns:a16="http://schemas.microsoft.com/office/drawing/2014/main" id="{7AE1BDBA-C917-8436-ACC4-BEE40F072914}"/>
            </a:ext>
          </a:extLst>
        </xdr:cNvPr>
        <xdr:cNvSpPr txBox="1">
          <a:spLocks noChangeArrowheads="1"/>
        </xdr:cNvSpPr>
      </xdr:nvSpPr>
      <xdr:spPr bwMode="auto">
        <a:xfrm>
          <a:off x="7798373" y="663541"/>
          <a:ext cx="1088490" cy="498011"/>
        </a:xfrm>
        <a:prstGeom prst="rect">
          <a:avLst/>
        </a:prstGeom>
        <a:noFill/>
        <a:ln w="9525">
          <a:noFill/>
          <a:miter lim="800000"/>
          <a:headEnd/>
          <a:tailEnd/>
        </a:ln>
      </xdr:spPr>
      <xdr:txBody>
        <a:bodyPr vertOverflow="clip" wrap="square" lIns="36576" tIns="32004" rIns="0" bIns="0" anchor="t" upright="1"/>
        <a:lstStyle/>
        <a:p>
          <a:pPr algn="ctr" rtl="0">
            <a:defRPr sz="1000"/>
          </a:pPr>
          <a:r>
            <a:rPr lang="en-NG" sz="1100" b="0" i="0" u="none" strike="noStrike" baseline="0">
              <a:solidFill>
                <a:srgbClr val="000000"/>
              </a:solidFill>
              <a:latin typeface="Calibri"/>
              <a:ea typeface="Calibri"/>
              <a:cs typeface="Calibri"/>
            </a:rPr>
            <a:t>Attendance Rate</a:t>
          </a:r>
        </a:p>
      </xdr:txBody>
    </xdr:sp>
    <xdr:clientData/>
  </xdr:twoCellAnchor>
  <xdr:twoCellAnchor>
    <xdr:from>
      <xdr:col>4</xdr:col>
      <xdr:colOff>378145</xdr:colOff>
      <xdr:row>5</xdr:row>
      <xdr:rowOff>35675</xdr:rowOff>
    </xdr:from>
    <xdr:to>
      <xdr:col>5</xdr:col>
      <xdr:colOff>328202</xdr:colOff>
      <xdr:row>6</xdr:row>
      <xdr:rowOff>142697</xdr:rowOff>
    </xdr:to>
    <xdr:sp macro="" textlink="">
      <xdr:nvSpPr>
        <xdr:cNvPr id="26" name="TextBox 25">
          <a:extLst>
            <a:ext uri="{FF2B5EF4-FFF2-40B4-BE49-F238E27FC236}">
              <a16:creationId xmlns:a16="http://schemas.microsoft.com/office/drawing/2014/main" id="{F1F84F02-CA3D-5F2D-FBBC-4946E5F14411}"/>
            </a:ext>
          </a:extLst>
        </xdr:cNvPr>
        <xdr:cNvSpPr txBox="1"/>
      </xdr:nvSpPr>
      <xdr:spPr>
        <a:xfrm>
          <a:off x="2803988" y="963203"/>
          <a:ext cx="556517" cy="292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150</a:t>
          </a:r>
          <a:endParaRPr lang="en-NG" sz="1100"/>
        </a:p>
      </xdr:txBody>
    </xdr:sp>
    <xdr:clientData/>
  </xdr:twoCellAnchor>
  <xdr:twoCellAnchor>
    <xdr:from>
      <xdr:col>7</xdr:col>
      <xdr:colOff>321067</xdr:colOff>
      <xdr:row>5</xdr:row>
      <xdr:rowOff>28539</xdr:rowOff>
    </xdr:from>
    <xdr:to>
      <xdr:col>8</xdr:col>
      <xdr:colOff>235450</xdr:colOff>
      <xdr:row>6</xdr:row>
      <xdr:rowOff>156965</xdr:rowOff>
    </xdr:to>
    <xdr:sp macro="" textlink="">
      <xdr:nvSpPr>
        <xdr:cNvPr id="27" name="TextBox 26">
          <a:extLst>
            <a:ext uri="{FF2B5EF4-FFF2-40B4-BE49-F238E27FC236}">
              <a16:creationId xmlns:a16="http://schemas.microsoft.com/office/drawing/2014/main" id="{6CC4E85C-0579-D79C-3C81-D927A2897FF9}"/>
            </a:ext>
          </a:extLst>
        </xdr:cNvPr>
        <xdr:cNvSpPr txBox="1"/>
      </xdr:nvSpPr>
      <xdr:spPr>
        <a:xfrm>
          <a:off x="4566292" y="956067"/>
          <a:ext cx="520843" cy="31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15</a:t>
          </a:r>
          <a:endParaRPr lang="en-NG" sz="1100"/>
        </a:p>
      </xdr:txBody>
    </xdr:sp>
    <xdr:clientData/>
  </xdr:twoCellAnchor>
  <xdr:twoCellAnchor>
    <xdr:from>
      <xdr:col>10</xdr:col>
      <xdr:colOff>178371</xdr:colOff>
      <xdr:row>5</xdr:row>
      <xdr:rowOff>28539</xdr:rowOff>
    </xdr:from>
    <xdr:to>
      <xdr:col>11</xdr:col>
      <xdr:colOff>178371</xdr:colOff>
      <xdr:row>6</xdr:row>
      <xdr:rowOff>156966</xdr:rowOff>
    </xdr:to>
    <xdr:sp macro="" textlink="">
      <xdr:nvSpPr>
        <xdr:cNvPr id="28" name="TextBox 27">
          <a:extLst>
            <a:ext uri="{FF2B5EF4-FFF2-40B4-BE49-F238E27FC236}">
              <a16:creationId xmlns:a16="http://schemas.microsoft.com/office/drawing/2014/main" id="{3D5756FF-1EAC-40EB-E93B-19A6AF2319CE}"/>
            </a:ext>
          </a:extLst>
        </xdr:cNvPr>
        <xdr:cNvSpPr txBox="1"/>
      </xdr:nvSpPr>
      <xdr:spPr>
        <a:xfrm>
          <a:off x="6242978" y="956067"/>
          <a:ext cx="606460" cy="31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26</a:t>
          </a:r>
          <a:endParaRPr lang="en-NG" sz="1100"/>
        </a:p>
      </xdr:txBody>
    </xdr:sp>
    <xdr:clientData/>
  </xdr:twoCellAnchor>
  <xdr:twoCellAnchor>
    <xdr:from>
      <xdr:col>13</xdr:col>
      <xdr:colOff>71349</xdr:colOff>
      <xdr:row>5</xdr:row>
      <xdr:rowOff>35674</xdr:rowOff>
    </xdr:from>
    <xdr:to>
      <xdr:col>14</xdr:col>
      <xdr:colOff>221181</xdr:colOff>
      <xdr:row>6</xdr:row>
      <xdr:rowOff>114157</xdr:rowOff>
    </xdr:to>
    <xdr:sp macro="" textlink="">
      <xdr:nvSpPr>
        <xdr:cNvPr id="29" name="TextBox 28">
          <a:extLst>
            <a:ext uri="{FF2B5EF4-FFF2-40B4-BE49-F238E27FC236}">
              <a16:creationId xmlns:a16="http://schemas.microsoft.com/office/drawing/2014/main" id="{5E0CD4A5-90C6-022C-DC7F-8D015DB93143}"/>
            </a:ext>
          </a:extLst>
        </xdr:cNvPr>
        <xdr:cNvSpPr txBox="1"/>
      </xdr:nvSpPr>
      <xdr:spPr>
        <a:xfrm>
          <a:off x="7955338" y="963202"/>
          <a:ext cx="756292" cy="26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72%</a:t>
          </a:r>
          <a:endParaRPr lang="en-NG" sz="1100"/>
        </a:p>
      </xdr:txBody>
    </xdr:sp>
    <xdr:clientData/>
  </xdr:twoCellAnchor>
  <xdr:twoCellAnchor>
    <xdr:from>
      <xdr:col>3</xdr:col>
      <xdr:colOff>477765</xdr:colOff>
      <xdr:row>7</xdr:row>
      <xdr:rowOff>154737</xdr:rowOff>
    </xdr:from>
    <xdr:to>
      <xdr:col>7</xdr:col>
      <xdr:colOff>102028</xdr:colOff>
      <xdr:row>15</xdr:row>
      <xdr:rowOff>93466</xdr:rowOff>
    </xdr:to>
    <xdr:sp macro="" textlink="">
      <xdr:nvSpPr>
        <xdr:cNvPr id="30" name="Rectangle: Rounded Corners 29">
          <a:extLst>
            <a:ext uri="{FF2B5EF4-FFF2-40B4-BE49-F238E27FC236}">
              <a16:creationId xmlns:a16="http://schemas.microsoft.com/office/drawing/2014/main" id="{9D0AF013-6347-9E60-6683-C4AA371FAFB8}"/>
            </a:ext>
          </a:extLst>
        </xdr:cNvPr>
        <xdr:cNvSpPr/>
      </xdr:nvSpPr>
      <xdr:spPr>
        <a:xfrm>
          <a:off x="2311328" y="1432675"/>
          <a:ext cx="2069013" cy="1399229"/>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238125</xdr:colOff>
      <xdr:row>7</xdr:row>
      <xdr:rowOff>149170</xdr:rowOff>
    </xdr:from>
    <xdr:to>
      <xdr:col>11</xdr:col>
      <xdr:colOff>238125</xdr:colOff>
      <xdr:row>24</xdr:row>
      <xdr:rowOff>39688</xdr:rowOff>
    </xdr:to>
    <xdr:sp macro="" textlink="">
      <xdr:nvSpPr>
        <xdr:cNvPr id="31" name="Rectangle: Rounded Corners 30">
          <a:extLst>
            <a:ext uri="{FF2B5EF4-FFF2-40B4-BE49-F238E27FC236}">
              <a16:creationId xmlns:a16="http://schemas.microsoft.com/office/drawing/2014/main" id="{7072D86A-B927-47E5-8CB6-42535E184BC2}"/>
            </a:ext>
          </a:extLst>
        </xdr:cNvPr>
        <xdr:cNvSpPr/>
      </xdr:nvSpPr>
      <xdr:spPr>
        <a:xfrm>
          <a:off x="4516438" y="1427108"/>
          <a:ext cx="2444750" cy="2994080"/>
        </a:xfrm>
        <a:prstGeom prst="roundRect">
          <a:avLst/>
        </a:prstGeom>
        <a:solidFill>
          <a:srgbClr val="43477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355472</xdr:colOff>
      <xdr:row>7</xdr:row>
      <xdr:rowOff>139969</xdr:rowOff>
    </xdr:from>
    <xdr:to>
      <xdr:col>15</xdr:col>
      <xdr:colOff>7937</xdr:colOff>
      <xdr:row>17</xdr:row>
      <xdr:rowOff>71437</xdr:rowOff>
    </xdr:to>
    <xdr:sp macro="" textlink="">
      <xdr:nvSpPr>
        <xdr:cNvPr id="32" name="Rectangle: Rounded Corners 31">
          <a:extLst>
            <a:ext uri="{FF2B5EF4-FFF2-40B4-BE49-F238E27FC236}">
              <a16:creationId xmlns:a16="http://schemas.microsoft.com/office/drawing/2014/main" id="{EB278F14-E3E7-4B8F-A92D-A487A81D4644}"/>
            </a:ext>
          </a:extLst>
        </xdr:cNvPr>
        <xdr:cNvSpPr/>
      </xdr:nvSpPr>
      <xdr:spPr>
        <a:xfrm>
          <a:off x="7078535" y="1417907"/>
          <a:ext cx="2097215" cy="175709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501578</xdr:colOff>
      <xdr:row>8</xdr:row>
      <xdr:rowOff>7936</xdr:rowOff>
    </xdr:from>
    <xdr:to>
      <xdr:col>7</xdr:col>
      <xdr:colOff>603250</xdr:colOff>
      <xdr:row>17</xdr:row>
      <xdr:rowOff>79374</xdr:rowOff>
    </xdr:to>
    <xdr:graphicFrame macro="">
      <xdr:nvGraphicFramePr>
        <xdr:cNvPr id="33" name="Chart 32">
          <a:extLst>
            <a:ext uri="{FF2B5EF4-FFF2-40B4-BE49-F238E27FC236}">
              <a16:creationId xmlns:a16="http://schemas.microsoft.com/office/drawing/2014/main" id="{5A72D8A6-BB4B-4F3B-B790-924CF65CE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277813</xdr:colOff>
      <xdr:row>8</xdr:row>
      <xdr:rowOff>15876</xdr:rowOff>
    </xdr:from>
    <xdr:to>
      <xdr:col>11</xdr:col>
      <xdr:colOff>158751</xdr:colOff>
      <xdr:row>25</xdr:row>
      <xdr:rowOff>158751</xdr:rowOff>
    </xdr:to>
    <xdr:graphicFrame macro="">
      <xdr:nvGraphicFramePr>
        <xdr:cNvPr id="34" name="Chart 33">
          <a:extLst>
            <a:ext uri="{FF2B5EF4-FFF2-40B4-BE49-F238E27FC236}">
              <a16:creationId xmlns:a16="http://schemas.microsoft.com/office/drawing/2014/main" id="{6EB6FD72-59B6-4531-A89A-71E685608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341311</xdr:colOff>
      <xdr:row>8</xdr:row>
      <xdr:rowOff>7938</xdr:rowOff>
    </xdr:from>
    <xdr:to>
      <xdr:col>15</xdr:col>
      <xdr:colOff>373060</xdr:colOff>
      <xdr:row>18</xdr:row>
      <xdr:rowOff>87312</xdr:rowOff>
    </xdr:to>
    <xdr:graphicFrame macro="">
      <xdr:nvGraphicFramePr>
        <xdr:cNvPr id="35" name="Chart 34">
          <a:extLst>
            <a:ext uri="{FF2B5EF4-FFF2-40B4-BE49-F238E27FC236}">
              <a16:creationId xmlns:a16="http://schemas.microsoft.com/office/drawing/2014/main" id="{0A2C3171-CE8D-431E-A294-EBE5DCC8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452435</xdr:colOff>
      <xdr:row>16</xdr:row>
      <xdr:rowOff>0</xdr:rowOff>
    </xdr:from>
    <xdr:to>
      <xdr:col>7</xdr:col>
      <xdr:colOff>79375</xdr:colOff>
      <xdr:row>24</xdr:row>
      <xdr:rowOff>68316</xdr:rowOff>
    </xdr:to>
    <xdr:sp macro="" textlink="">
      <xdr:nvSpPr>
        <xdr:cNvPr id="38" name="Rectangle: Rounded Corners 37">
          <a:extLst>
            <a:ext uri="{FF2B5EF4-FFF2-40B4-BE49-F238E27FC236}">
              <a16:creationId xmlns:a16="http://schemas.microsoft.com/office/drawing/2014/main" id="{DB872755-3263-48C7-9C0E-5BEDB7A0C502}"/>
            </a:ext>
          </a:extLst>
        </xdr:cNvPr>
        <xdr:cNvSpPr/>
      </xdr:nvSpPr>
      <xdr:spPr>
        <a:xfrm>
          <a:off x="2285998" y="2921000"/>
          <a:ext cx="2071690" cy="152881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373062</xdr:colOff>
      <xdr:row>17</xdr:row>
      <xdr:rowOff>166687</xdr:rowOff>
    </xdr:from>
    <xdr:to>
      <xdr:col>15</xdr:col>
      <xdr:colOff>0</xdr:colOff>
      <xdr:row>24</xdr:row>
      <xdr:rowOff>119064</xdr:rowOff>
    </xdr:to>
    <xdr:sp macro="" textlink="">
      <xdr:nvSpPr>
        <xdr:cNvPr id="39" name="Rectangle: Rounded Corners 38">
          <a:extLst>
            <a:ext uri="{FF2B5EF4-FFF2-40B4-BE49-F238E27FC236}">
              <a16:creationId xmlns:a16="http://schemas.microsoft.com/office/drawing/2014/main" id="{1B282CDE-4509-4C64-B3A0-72735F465BEF}"/>
            </a:ext>
          </a:extLst>
        </xdr:cNvPr>
        <xdr:cNvSpPr/>
      </xdr:nvSpPr>
      <xdr:spPr>
        <a:xfrm>
          <a:off x="7096125" y="3270250"/>
          <a:ext cx="2071688" cy="123031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444500</xdr:colOff>
      <xdr:row>18</xdr:row>
      <xdr:rowOff>15874</xdr:rowOff>
    </xdr:from>
    <xdr:to>
      <xdr:col>14</xdr:col>
      <xdr:colOff>444501</xdr:colOff>
      <xdr:row>25</xdr:row>
      <xdr:rowOff>52386</xdr:rowOff>
    </xdr:to>
    <xdr:graphicFrame macro="">
      <xdr:nvGraphicFramePr>
        <xdr:cNvPr id="41" name="Chart 40">
          <a:extLst>
            <a:ext uri="{FF2B5EF4-FFF2-40B4-BE49-F238E27FC236}">
              <a16:creationId xmlns:a16="http://schemas.microsoft.com/office/drawing/2014/main" id="{6BA5E897-3877-4713-9FBC-0F4A10EF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15874</xdr:colOff>
      <xdr:row>15</xdr:row>
      <xdr:rowOff>158750</xdr:rowOff>
    </xdr:from>
    <xdr:to>
      <xdr:col>7</xdr:col>
      <xdr:colOff>277812</xdr:colOff>
      <xdr:row>17</xdr:row>
      <xdr:rowOff>23812</xdr:rowOff>
    </xdr:to>
    <xdr:sp macro="" textlink="">
      <xdr:nvSpPr>
        <xdr:cNvPr id="5127" name="Text Box 7">
          <a:extLst>
            <a:ext uri="{FF2B5EF4-FFF2-40B4-BE49-F238E27FC236}">
              <a16:creationId xmlns:a16="http://schemas.microsoft.com/office/drawing/2014/main" id="{5E89EA47-2266-41DB-5112-D49E9CF38D2A}"/>
            </a:ext>
          </a:extLst>
        </xdr:cNvPr>
        <xdr:cNvSpPr txBox="1">
          <a:spLocks noChangeArrowheads="1"/>
        </xdr:cNvSpPr>
      </xdr:nvSpPr>
      <xdr:spPr bwMode="auto">
        <a:xfrm>
          <a:off x="2460624" y="2897188"/>
          <a:ext cx="2095501" cy="230187"/>
        </a:xfrm>
        <a:prstGeom prst="rect">
          <a:avLst/>
        </a:prstGeom>
        <a:noFill/>
        <a:ln w="9525">
          <a:noFill/>
          <a:miter lim="800000"/>
          <a:headEnd/>
          <a:tailEnd/>
        </a:ln>
      </xdr:spPr>
      <xdr:txBody>
        <a:bodyPr vertOverflow="clip" wrap="square" lIns="36576" tIns="32004" rIns="0" bIns="0" anchor="t" upright="1"/>
        <a:lstStyle/>
        <a:p>
          <a:pPr algn="l" rtl="0">
            <a:defRPr sz="1000"/>
          </a:pPr>
          <a:r>
            <a:rPr lang="en-NG" sz="1100" b="0" i="0" u="none" strike="noStrike" baseline="0">
              <a:solidFill>
                <a:srgbClr val="000000"/>
              </a:solidFill>
              <a:latin typeface="Calibri"/>
              <a:ea typeface="Calibri"/>
              <a:cs typeface="Calibri"/>
            </a:rPr>
            <a:t>Key Attendance Insights</a:t>
          </a:r>
        </a:p>
      </xdr:txBody>
    </xdr:sp>
    <xdr:clientData/>
  </xdr:twoCellAnchor>
  <xdr:twoCellAnchor>
    <xdr:from>
      <xdr:col>3</xdr:col>
      <xdr:colOff>508000</xdr:colOff>
      <xdr:row>17</xdr:row>
      <xdr:rowOff>15875</xdr:rowOff>
    </xdr:from>
    <xdr:to>
      <xdr:col>7</xdr:col>
      <xdr:colOff>246062</xdr:colOff>
      <xdr:row>25</xdr:row>
      <xdr:rowOff>63500</xdr:rowOff>
    </xdr:to>
    <xdr:sp macro="" textlink="">
      <xdr:nvSpPr>
        <xdr:cNvPr id="5129" name="Text Box 9">
          <a:extLst>
            <a:ext uri="{FF2B5EF4-FFF2-40B4-BE49-F238E27FC236}">
              <a16:creationId xmlns:a16="http://schemas.microsoft.com/office/drawing/2014/main" id="{B48E9103-9859-E35E-D1AA-223E9B0751ED}"/>
            </a:ext>
          </a:extLst>
        </xdr:cNvPr>
        <xdr:cNvSpPr txBox="1">
          <a:spLocks noChangeArrowheads="1"/>
        </xdr:cNvSpPr>
      </xdr:nvSpPr>
      <xdr:spPr bwMode="auto">
        <a:xfrm>
          <a:off x="2341563" y="3119438"/>
          <a:ext cx="2182812" cy="1508125"/>
        </a:xfrm>
        <a:prstGeom prst="rect">
          <a:avLst/>
        </a:prstGeom>
        <a:noFill/>
        <a:ln w="9525">
          <a:noFill/>
          <a:miter lim="800000"/>
          <a:headEnd/>
          <a:tailEnd/>
        </a:ln>
      </xdr:spPr>
      <xdr:txBody>
        <a:bodyPr vertOverflow="clip" wrap="square" lIns="36576" tIns="32004" rIns="0" bIns="0" anchor="t" upright="1"/>
        <a:lstStyle/>
        <a:p>
          <a:pPr algn="l" rtl="0">
            <a:defRPr sz="1000"/>
          </a:pPr>
          <a:r>
            <a:rPr lang="en-NG" sz="800" b="0" i="0" u="none" strike="noStrike" baseline="0">
              <a:solidFill>
                <a:schemeClr val="tx1"/>
              </a:solidFill>
              <a:latin typeface="Calibri"/>
              <a:ea typeface="Calibri"/>
              <a:cs typeface="Calibri"/>
            </a:rPr>
            <a:t>• Attendance rate: 72%, indicating moderate workforce participation.</a:t>
          </a:r>
          <a:endParaRPr lang="en-US" sz="800" b="0" i="0" u="none" strike="noStrike" baseline="0">
            <a:solidFill>
              <a:schemeClr val="tx1"/>
            </a:solidFill>
            <a:latin typeface="Calibri"/>
            <a:ea typeface="Calibri"/>
            <a:cs typeface="Calibri"/>
          </a:endParaRPr>
        </a:p>
        <a:p>
          <a:pPr algn="l" rtl="0">
            <a:defRPr sz="1000"/>
          </a:pPr>
          <a:endParaRPr lang="en-NG" sz="800" b="0" i="0" u="none" strike="noStrike" baseline="0">
            <a:solidFill>
              <a:schemeClr val="tx1"/>
            </a:solidFill>
            <a:latin typeface="Calibri"/>
            <a:ea typeface="Calibri"/>
            <a:cs typeface="Calibri"/>
          </a:endParaRPr>
        </a:p>
        <a:p>
          <a:pPr algn="l" rtl="0">
            <a:defRPr sz="1000"/>
          </a:pPr>
          <a:r>
            <a:rPr lang="en-NG" sz="800" b="0" i="0" u="none" strike="noStrike" baseline="0">
              <a:solidFill>
                <a:schemeClr val="tx1"/>
              </a:solidFill>
              <a:latin typeface="Calibri"/>
              <a:ea typeface="Calibri"/>
              <a:cs typeface="Calibri"/>
            </a:rPr>
            <a:t>• Operations recorded the highest number of absences.</a:t>
          </a:r>
          <a:endParaRPr lang="en-US" sz="800" b="0" i="0" u="none" strike="noStrike" baseline="0">
            <a:solidFill>
              <a:schemeClr val="tx1"/>
            </a:solidFill>
            <a:latin typeface="Calibri"/>
            <a:ea typeface="Calibri"/>
            <a:cs typeface="Calibri"/>
          </a:endParaRPr>
        </a:p>
        <a:p>
          <a:pPr algn="l" rtl="0">
            <a:defRPr sz="1000"/>
          </a:pPr>
          <a:endParaRPr lang="en-NG" sz="800" b="0" i="0" u="none" strike="noStrike" baseline="0">
            <a:solidFill>
              <a:schemeClr val="tx1"/>
            </a:solidFill>
            <a:latin typeface="Calibri"/>
            <a:ea typeface="Calibri"/>
            <a:cs typeface="Calibri"/>
          </a:endParaRPr>
        </a:p>
        <a:p>
          <a:pPr algn="l" rtl="0">
            <a:defRPr sz="1000"/>
          </a:pPr>
          <a:r>
            <a:rPr lang="en-NG" sz="800" b="0" i="0" u="none" strike="noStrike" baseline="0">
              <a:solidFill>
                <a:schemeClr val="tx1"/>
              </a:solidFill>
              <a:latin typeface="Calibri"/>
              <a:ea typeface="Calibri"/>
              <a:cs typeface="Calibri"/>
            </a:rPr>
            <a:t>• Finance and HR show higher late arrivals.</a:t>
          </a:r>
          <a:endParaRPr lang="en-US" sz="800" b="0" i="0" u="none" strike="noStrike" baseline="0">
            <a:solidFill>
              <a:schemeClr val="tx1"/>
            </a:solidFill>
            <a:latin typeface="Calibri"/>
            <a:ea typeface="Calibri"/>
            <a:cs typeface="Calibri"/>
          </a:endParaRPr>
        </a:p>
        <a:p>
          <a:pPr algn="l" rtl="0">
            <a:defRPr sz="1000"/>
          </a:pPr>
          <a:endParaRPr lang="en-US" sz="800" b="0" i="0" u="none" strike="noStrike" baseline="0">
            <a:solidFill>
              <a:schemeClr val="tx1"/>
            </a:solidFill>
            <a:latin typeface="Calibri"/>
            <a:ea typeface="Calibri"/>
            <a:cs typeface="Calibri"/>
          </a:endParaRPr>
        </a:p>
        <a:p>
          <a:pPr algn="l" rtl="0">
            <a:defRPr sz="1000"/>
          </a:pPr>
          <a:r>
            <a:rPr lang="en-US" sz="800"/>
            <a:t>• Most records are </a:t>
          </a:r>
          <a:r>
            <a:rPr lang="en-US" sz="800" b="1"/>
            <a:t>Present</a:t>
          </a:r>
          <a:r>
            <a:rPr lang="en-US" sz="800"/>
            <a:t>, showing generally stable attendance.</a:t>
          </a:r>
          <a:endParaRPr lang="en-US" sz="800" b="0" i="0" u="none" strike="noStrike" baseline="0">
            <a:solidFill>
              <a:schemeClr val="tx1"/>
            </a:solidFill>
            <a:latin typeface="Calibri"/>
            <a:ea typeface="Calibri"/>
            <a:cs typeface="Calibri"/>
          </a:endParaRPr>
        </a:p>
        <a:p>
          <a:pPr algn="l" rtl="0">
            <a:defRPr sz="1000"/>
          </a:pPr>
          <a:endParaRPr lang="en-US" sz="1000" b="0" i="0" u="none" strike="noStrike" baseline="0">
            <a:solidFill>
              <a:schemeClr val="tx1"/>
            </a:solidFill>
            <a:latin typeface="Calibri"/>
            <a:ea typeface="Calibri"/>
            <a:cs typeface="Calibri"/>
          </a:endParaRPr>
        </a:p>
        <a:p>
          <a:pPr algn="l" rtl="0">
            <a:defRPr sz="1000"/>
          </a:pPr>
          <a:endParaRPr lang="en-NG" sz="1000" b="0" i="0" u="none" strike="noStrike" baseline="0">
            <a:solidFill>
              <a:schemeClr val="tx1"/>
            </a:solidFill>
            <a:latin typeface="Calibri"/>
            <a:ea typeface="Calibri"/>
            <a:cs typeface="Calibri"/>
          </a:endParaRPr>
        </a:p>
        <a:p>
          <a:pPr algn="l" rtl="0">
            <a:defRPr sz="1000"/>
          </a:pPr>
          <a:endParaRPr lang="en-NG" sz="1100" b="0" i="0" u="none" strike="noStrike" baseline="0">
            <a:solidFill>
              <a:schemeClr val="tx1"/>
            </a:solidFill>
            <a:latin typeface="Calibri"/>
            <a:ea typeface="Calibri"/>
            <a:cs typeface="Calibri"/>
          </a:endParaRPr>
        </a:p>
      </xdr:txBody>
    </xdr:sp>
    <xdr:clientData/>
  </xdr:twoCellAnchor>
  <xdr:twoCellAnchor editAs="oneCell">
    <xdr:from>
      <xdr:col>10</xdr:col>
      <xdr:colOff>285750</xdr:colOff>
      <xdr:row>0</xdr:row>
      <xdr:rowOff>47625</xdr:rowOff>
    </xdr:from>
    <xdr:to>
      <xdr:col>15</xdr:col>
      <xdr:colOff>404812</xdr:colOff>
      <xdr:row>2</xdr:row>
      <xdr:rowOff>103187</xdr:rowOff>
    </xdr:to>
    <mc:AlternateContent xmlns:mc="http://schemas.openxmlformats.org/markup-compatibility/2006">
      <mc:Choice xmlns:a14="http://schemas.microsoft.com/office/drawing/2010/main" Requires="a14">
        <xdr:graphicFrame macro="">
          <xdr:nvGraphicFramePr>
            <xdr:cNvPr id="43" name="Department">
              <a:extLst>
                <a:ext uri="{FF2B5EF4-FFF2-40B4-BE49-F238E27FC236}">
                  <a16:creationId xmlns:a16="http://schemas.microsoft.com/office/drawing/2014/main" id="{79F41316-F921-441F-A753-B3323FAD821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397625" y="47625"/>
              <a:ext cx="3175000" cy="4206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 Circle" refreshedDate="46095.128106944445" createdVersion="8" refreshedVersion="8" minRefreshableVersion="3" recordCount="150" xr:uid="{0C264AD9-A36A-4CAC-A738-72E8EAB76F28}">
  <cacheSource type="worksheet">
    <worksheetSource name="Table1"/>
  </cacheSource>
  <cacheFields count="7">
    <cacheField name="Employee_ID" numFmtId="0">
      <sharedItems count="10">
        <s v="E001"/>
        <s v="E002"/>
        <s v="E003"/>
        <s v="E004"/>
        <s v="E005"/>
        <s v="E006"/>
        <s v="E007"/>
        <s v="E008"/>
        <s v="E009"/>
        <s v="E010"/>
      </sharedItems>
    </cacheField>
    <cacheField name="Employee_Name" numFmtId="0">
      <sharedItems count="10">
        <s v="Ada Okafor"/>
        <s v="Tunde Balogun"/>
        <s v="Chiamaka Obi"/>
        <s v="Ibrahim Musa"/>
        <s v="Grace Adeyemi"/>
        <s v="Daniel Bello"/>
        <s v="Fatima Sadiq"/>
        <s v="Samuel Ajayi"/>
        <s v="Kemi Ogun"/>
        <s v="Victor Nwoye"/>
      </sharedItems>
    </cacheField>
    <cacheField name="Department" numFmtId="0">
      <sharedItems count="4">
        <s v="Finance"/>
        <s v="Operations"/>
        <s v="HR"/>
        <s v="Marketing"/>
      </sharedItems>
    </cacheField>
    <cacheField name="Date" numFmtId="14">
      <sharedItems containsSemiMixedTypes="0" containsNonDate="0" containsDate="1" containsString="0" minDate="2026-02-01T00:00:00" maxDate="2026-02-16T00:00:00" count="15">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sharedItems>
    </cacheField>
    <cacheField name="Status" numFmtId="0">
      <sharedItems count="3">
        <s v="Present"/>
        <s v="Absent"/>
        <s v="Late"/>
      </sharedItems>
    </cacheField>
    <cacheField name="CheckIn_Time" numFmtId="0">
      <sharedItems containsSemiMixedTypes="0" containsDate="1" containsString="0" containsMixedTypes="1" minDate="1899-12-30T00:00:00" maxDate="1899-12-30T10:30:00" count="18">
        <d v="1899-12-30T08:10:00"/>
        <d v="1899-12-30T00:00:00"/>
        <d v="1899-12-30T10:40:00"/>
        <d v="1899-12-30T10:20:00"/>
        <d v="1899-12-30T08:05:00"/>
        <d v="1899-12-30T09:15:00"/>
        <d v="1899-12-30T08:00:00"/>
        <d v="1899-12-30T08:20:00"/>
        <d v="1899-12-30T09:10:00"/>
        <d v="1899-12-30T08:15:00"/>
        <d v="1899-12-30T09:05:00"/>
        <d v="1899-12-30T09:20:00"/>
        <d v="1899-12-30T09:30:00"/>
        <d v="1899-12-30T10:10:00"/>
        <d v="1899-12-30T10:05:00"/>
        <d v="1899-12-30T10:15:00"/>
        <n v="8.0500000000000007"/>
        <d v="1899-12-30T10:30:00"/>
      </sharedItems>
    </cacheField>
    <cacheField name="Work_Hours" numFmtId="0">
      <sharedItems containsSemiMixedTypes="0" containsString="0" containsNumber="1" minValue="0" maxValue="9"/>
    </cacheField>
  </cacheFields>
  <extLst>
    <ext xmlns:x14="http://schemas.microsoft.com/office/spreadsheetml/2009/9/main" uri="{725AE2AE-9491-48be-B2B4-4EB974FC3084}">
      <x14:pivotCacheDefinition pivotCacheId="1305461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x v="0"/>
    <n v="8.8000000000000007"/>
  </r>
  <r>
    <x v="1"/>
    <x v="1"/>
    <x v="1"/>
    <x v="0"/>
    <x v="1"/>
    <x v="1"/>
    <n v="0"/>
  </r>
  <r>
    <x v="2"/>
    <x v="2"/>
    <x v="2"/>
    <x v="0"/>
    <x v="2"/>
    <x v="2"/>
    <n v="6.8"/>
  </r>
  <r>
    <x v="3"/>
    <x v="3"/>
    <x v="1"/>
    <x v="0"/>
    <x v="1"/>
    <x v="1"/>
    <n v="0"/>
  </r>
  <r>
    <x v="4"/>
    <x v="4"/>
    <x v="3"/>
    <x v="0"/>
    <x v="0"/>
    <x v="0"/>
    <n v="8.1999999999999993"/>
  </r>
  <r>
    <x v="5"/>
    <x v="5"/>
    <x v="0"/>
    <x v="0"/>
    <x v="0"/>
    <x v="0"/>
    <n v="7.8"/>
  </r>
  <r>
    <x v="6"/>
    <x v="6"/>
    <x v="2"/>
    <x v="0"/>
    <x v="2"/>
    <x v="3"/>
    <n v="7.2"/>
  </r>
  <r>
    <x v="7"/>
    <x v="7"/>
    <x v="3"/>
    <x v="0"/>
    <x v="0"/>
    <x v="4"/>
    <n v="7.8"/>
  </r>
  <r>
    <x v="8"/>
    <x v="8"/>
    <x v="1"/>
    <x v="0"/>
    <x v="0"/>
    <x v="4"/>
    <n v="8.9"/>
  </r>
  <r>
    <x v="9"/>
    <x v="9"/>
    <x v="0"/>
    <x v="0"/>
    <x v="2"/>
    <x v="5"/>
    <n v="7.3"/>
  </r>
  <r>
    <x v="0"/>
    <x v="0"/>
    <x v="0"/>
    <x v="1"/>
    <x v="0"/>
    <x v="6"/>
    <n v="7.9"/>
  </r>
  <r>
    <x v="1"/>
    <x v="1"/>
    <x v="1"/>
    <x v="1"/>
    <x v="0"/>
    <x v="6"/>
    <n v="8.8000000000000007"/>
  </r>
  <r>
    <x v="2"/>
    <x v="2"/>
    <x v="2"/>
    <x v="1"/>
    <x v="0"/>
    <x v="7"/>
    <n v="8.1"/>
  </r>
  <r>
    <x v="3"/>
    <x v="3"/>
    <x v="1"/>
    <x v="1"/>
    <x v="2"/>
    <x v="8"/>
    <n v="7.2"/>
  </r>
  <r>
    <x v="4"/>
    <x v="4"/>
    <x v="3"/>
    <x v="1"/>
    <x v="1"/>
    <x v="1"/>
    <n v="0"/>
  </r>
  <r>
    <x v="5"/>
    <x v="5"/>
    <x v="0"/>
    <x v="1"/>
    <x v="0"/>
    <x v="0"/>
    <n v="7.7"/>
  </r>
  <r>
    <x v="6"/>
    <x v="6"/>
    <x v="2"/>
    <x v="1"/>
    <x v="1"/>
    <x v="1"/>
    <n v="0"/>
  </r>
  <r>
    <x v="7"/>
    <x v="7"/>
    <x v="3"/>
    <x v="1"/>
    <x v="0"/>
    <x v="9"/>
    <n v="7.8"/>
  </r>
  <r>
    <x v="8"/>
    <x v="8"/>
    <x v="1"/>
    <x v="1"/>
    <x v="0"/>
    <x v="6"/>
    <n v="8.1"/>
  </r>
  <r>
    <x v="9"/>
    <x v="9"/>
    <x v="0"/>
    <x v="1"/>
    <x v="0"/>
    <x v="9"/>
    <n v="7.6"/>
  </r>
  <r>
    <x v="0"/>
    <x v="0"/>
    <x v="0"/>
    <x v="2"/>
    <x v="2"/>
    <x v="10"/>
    <n v="7.5"/>
  </r>
  <r>
    <x v="1"/>
    <x v="1"/>
    <x v="1"/>
    <x v="2"/>
    <x v="0"/>
    <x v="4"/>
    <n v="7.9"/>
  </r>
  <r>
    <x v="2"/>
    <x v="2"/>
    <x v="2"/>
    <x v="2"/>
    <x v="2"/>
    <x v="2"/>
    <n v="6.2"/>
  </r>
  <r>
    <x v="3"/>
    <x v="3"/>
    <x v="1"/>
    <x v="2"/>
    <x v="1"/>
    <x v="1"/>
    <n v="0"/>
  </r>
  <r>
    <x v="4"/>
    <x v="4"/>
    <x v="3"/>
    <x v="2"/>
    <x v="0"/>
    <x v="6"/>
    <n v="8"/>
  </r>
  <r>
    <x v="5"/>
    <x v="5"/>
    <x v="0"/>
    <x v="2"/>
    <x v="0"/>
    <x v="4"/>
    <n v="7.9"/>
  </r>
  <r>
    <x v="6"/>
    <x v="6"/>
    <x v="2"/>
    <x v="2"/>
    <x v="0"/>
    <x v="0"/>
    <n v="7.7"/>
  </r>
  <r>
    <x v="7"/>
    <x v="7"/>
    <x v="3"/>
    <x v="2"/>
    <x v="0"/>
    <x v="0"/>
    <n v="7.9"/>
  </r>
  <r>
    <x v="8"/>
    <x v="8"/>
    <x v="1"/>
    <x v="2"/>
    <x v="0"/>
    <x v="9"/>
    <n v="8.4"/>
  </r>
  <r>
    <x v="9"/>
    <x v="9"/>
    <x v="0"/>
    <x v="2"/>
    <x v="0"/>
    <x v="0"/>
    <n v="8"/>
  </r>
  <r>
    <x v="0"/>
    <x v="0"/>
    <x v="0"/>
    <x v="3"/>
    <x v="0"/>
    <x v="0"/>
    <n v="7.8"/>
  </r>
  <r>
    <x v="1"/>
    <x v="1"/>
    <x v="1"/>
    <x v="3"/>
    <x v="0"/>
    <x v="4"/>
    <n v="9"/>
  </r>
  <r>
    <x v="2"/>
    <x v="2"/>
    <x v="2"/>
    <x v="3"/>
    <x v="0"/>
    <x v="9"/>
    <n v="8"/>
  </r>
  <r>
    <x v="3"/>
    <x v="3"/>
    <x v="1"/>
    <x v="3"/>
    <x v="1"/>
    <x v="1"/>
    <n v="0"/>
  </r>
  <r>
    <x v="4"/>
    <x v="4"/>
    <x v="3"/>
    <x v="3"/>
    <x v="0"/>
    <x v="7"/>
    <n v="8.1999999999999993"/>
  </r>
  <r>
    <x v="5"/>
    <x v="5"/>
    <x v="0"/>
    <x v="3"/>
    <x v="0"/>
    <x v="0"/>
    <n v="8"/>
  </r>
  <r>
    <x v="6"/>
    <x v="6"/>
    <x v="2"/>
    <x v="3"/>
    <x v="1"/>
    <x v="1"/>
    <n v="0"/>
  </r>
  <r>
    <x v="7"/>
    <x v="7"/>
    <x v="3"/>
    <x v="3"/>
    <x v="1"/>
    <x v="1"/>
    <n v="0"/>
  </r>
  <r>
    <x v="8"/>
    <x v="8"/>
    <x v="1"/>
    <x v="3"/>
    <x v="0"/>
    <x v="0"/>
    <n v="8.6999999999999993"/>
  </r>
  <r>
    <x v="9"/>
    <x v="9"/>
    <x v="0"/>
    <x v="3"/>
    <x v="0"/>
    <x v="7"/>
    <n v="8.8000000000000007"/>
  </r>
  <r>
    <x v="0"/>
    <x v="0"/>
    <x v="0"/>
    <x v="4"/>
    <x v="1"/>
    <x v="1"/>
    <n v="0"/>
  </r>
  <r>
    <x v="1"/>
    <x v="1"/>
    <x v="1"/>
    <x v="4"/>
    <x v="1"/>
    <x v="1"/>
    <n v="0"/>
  </r>
  <r>
    <x v="2"/>
    <x v="2"/>
    <x v="2"/>
    <x v="4"/>
    <x v="0"/>
    <x v="7"/>
    <n v="7.7"/>
  </r>
  <r>
    <x v="3"/>
    <x v="3"/>
    <x v="1"/>
    <x v="4"/>
    <x v="1"/>
    <x v="1"/>
    <n v="0"/>
  </r>
  <r>
    <x v="4"/>
    <x v="4"/>
    <x v="3"/>
    <x v="4"/>
    <x v="0"/>
    <x v="6"/>
    <n v="8.8000000000000007"/>
  </r>
  <r>
    <x v="5"/>
    <x v="5"/>
    <x v="0"/>
    <x v="4"/>
    <x v="0"/>
    <x v="6"/>
    <n v="7.9"/>
  </r>
  <r>
    <x v="6"/>
    <x v="6"/>
    <x v="2"/>
    <x v="4"/>
    <x v="0"/>
    <x v="4"/>
    <n v="8.1"/>
  </r>
  <r>
    <x v="7"/>
    <x v="7"/>
    <x v="3"/>
    <x v="4"/>
    <x v="0"/>
    <x v="4"/>
    <n v="9"/>
  </r>
  <r>
    <x v="8"/>
    <x v="8"/>
    <x v="1"/>
    <x v="4"/>
    <x v="2"/>
    <x v="11"/>
    <n v="6.1"/>
  </r>
  <r>
    <x v="9"/>
    <x v="9"/>
    <x v="0"/>
    <x v="4"/>
    <x v="0"/>
    <x v="0"/>
    <n v="8.6999999999999993"/>
  </r>
  <r>
    <x v="0"/>
    <x v="0"/>
    <x v="0"/>
    <x v="5"/>
    <x v="0"/>
    <x v="9"/>
    <n v="8.5"/>
  </r>
  <r>
    <x v="1"/>
    <x v="1"/>
    <x v="1"/>
    <x v="5"/>
    <x v="0"/>
    <x v="6"/>
    <n v="8.4"/>
  </r>
  <r>
    <x v="2"/>
    <x v="2"/>
    <x v="2"/>
    <x v="5"/>
    <x v="0"/>
    <x v="7"/>
    <n v="8"/>
  </r>
  <r>
    <x v="3"/>
    <x v="3"/>
    <x v="1"/>
    <x v="5"/>
    <x v="1"/>
    <x v="1"/>
    <n v="0"/>
  </r>
  <r>
    <x v="4"/>
    <x v="4"/>
    <x v="3"/>
    <x v="5"/>
    <x v="2"/>
    <x v="12"/>
    <n v="6.6"/>
  </r>
  <r>
    <x v="5"/>
    <x v="5"/>
    <x v="0"/>
    <x v="5"/>
    <x v="0"/>
    <x v="6"/>
    <n v="8.6999999999999993"/>
  </r>
  <r>
    <x v="6"/>
    <x v="6"/>
    <x v="2"/>
    <x v="5"/>
    <x v="0"/>
    <x v="9"/>
    <n v="8.1999999999999993"/>
  </r>
  <r>
    <x v="7"/>
    <x v="7"/>
    <x v="3"/>
    <x v="5"/>
    <x v="0"/>
    <x v="7"/>
    <n v="8.1999999999999993"/>
  </r>
  <r>
    <x v="8"/>
    <x v="8"/>
    <x v="1"/>
    <x v="5"/>
    <x v="0"/>
    <x v="6"/>
    <n v="7.6"/>
  </r>
  <r>
    <x v="9"/>
    <x v="9"/>
    <x v="0"/>
    <x v="5"/>
    <x v="0"/>
    <x v="9"/>
    <n v="8.6999999999999993"/>
  </r>
  <r>
    <x v="0"/>
    <x v="0"/>
    <x v="0"/>
    <x v="6"/>
    <x v="1"/>
    <x v="1"/>
    <n v="0"/>
  </r>
  <r>
    <x v="1"/>
    <x v="1"/>
    <x v="1"/>
    <x v="6"/>
    <x v="0"/>
    <x v="7"/>
    <n v="8.6999999999999993"/>
  </r>
  <r>
    <x v="2"/>
    <x v="2"/>
    <x v="2"/>
    <x v="6"/>
    <x v="0"/>
    <x v="7"/>
    <n v="8.1"/>
  </r>
  <r>
    <x v="3"/>
    <x v="3"/>
    <x v="1"/>
    <x v="6"/>
    <x v="2"/>
    <x v="11"/>
    <n v="7"/>
  </r>
  <r>
    <x v="4"/>
    <x v="4"/>
    <x v="3"/>
    <x v="6"/>
    <x v="0"/>
    <x v="9"/>
    <n v="7.5"/>
  </r>
  <r>
    <x v="5"/>
    <x v="5"/>
    <x v="0"/>
    <x v="6"/>
    <x v="0"/>
    <x v="0"/>
    <n v="8.3000000000000007"/>
  </r>
  <r>
    <x v="6"/>
    <x v="6"/>
    <x v="2"/>
    <x v="6"/>
    <x v="0"/>
    <x v="9"/>
    <n v="8"/>
  </r>
  <r>
    <x v="7"/>
    <x v="7"/>
    <x v="3"/>
    <x v="6"/>
    <x v="0"/>
    <x v="7"/>
    <n v="8.1"/>
  </r>
  <r>
    <x v="8"/>
    <x v="8"/>
    <x v="1"/>
    <x v="6"/>
    <x v="0"/>
    <x v="4"/>
    <n v="8.1"/>
  </r>
  <r>
    <x v="9"/>
    <x v="9"/>
    <x v="0"/>
    <x v="6"/>
    <x v="2"/>
    <x v="12"/>
    <n v="7.3"/>
  </r>
  <r>
    <x v="0"/>
    <x v="0"/>
    <x v="0"/>
    <x v="7"/>
    <x v="0"/>
    <x v="6"/>
    <n v="8"/>
  </r>
  <r>
    <x v="1"/>
    <x v="1"/>
    <x v="1"/>
    <x v="7"/>
    <x v="0"/>
    <x v="0"/>
    <n v="7.6"/>
  </r>
  <r>
    <x v="2"/>
    <x v="2"/>
    <x v="2"/>
    <x v="7"/>
    <x v="0"/>
    <x v="7"/>
    <n v="8.6999999999999993"/>
  </r>
  <r>
    <x v="3"/>
    <x v="3"/>
    <x v="1"/>
    <x v="7"/>
    <x v="0"/>
    <x v="6"/>
    <n v="8"/>
  </r>
  <r>
    <x v="4"/>
    <x v="4"/>
    <x v="3"/>
    <x v="7"/>
    <x v="0"/>
    <x v="6"/>
    <n v="8.1"/>
  </r>
  <r>
    <x v="5"/>
    <x v="5"/>
    <x v="0"/>
    <x v="7"/>
    <x v="2"/>
    <x v="2"/>
    <n v="6.4"/>
  </r>
  <r>
    <x v="6"/>
    <x v="6"/>
    <x v="2"/>
    <x v="7"/>
    <x v="0"/>
    <x v="0"/>
    <n v="8.9"/>
  </r>
  <r>
    <x v="7"/>
    <x v="7"/>
    <x v="3"/>
    <x v="7"/>
    <x v="0"/>
    <x v="0"/>
    <n v="7.8"/>
  </r>
  <r>
    <x v="8"/>
    <x v="8"/>
    <x v="1"/>
    <x v="7"/>
    <x v="2"/>
    <x v="13"/>
    <n v="6.4"/>
  </r>
  <r>
    <x v="9"/>
    <x v="9"/>
    <x v="0"/>
    <x v="7"/>
    <x v="2"/>
    <x v="8"/>
    <n v="7.3"/>
  </r>
  <r>
    <x v="0"/>
    <x v="0"/>
    <x v="0"/>
    <x v="8"/>
    <x v="2"/>
    <x v="2"/>
    <n v="6.7"/>
  </r>
  <r>
    <x v="1"/>
    <x v="1"/>
    <x v="1"/>
    <x v="8"/>
    <x v="0"/>
    <x v="9"/>
    <n v="8.6999999999999993"/>
  </r>
  <r>
    <x v="2"/>
    <x v="2"/>
    <x v="2"/>
    <x v="8"/>
    <x v="0"/>
    <x v="0"/>
    <n v="8.9"/>
  </r>
  <r>
    <x v="3"/>
    <x v="3"/>
    <x v="1"/>
    <x v="8"/>
    <x v="0"/>
    <x v="4"/>
    <n v="7.5"/>
  </r>
  <r>
    <x v="4"/>
    <x v="4"/>
    <x v="3"/>
    <x v="8"/>
    <x v="0"/>
    <x v="7"/>
    <n v="8.6999999999999993"/>
  </r>
  <r>
    <x v="5"/>
    <x v="5"/>
    <x v="0"/>
    <x v="8"/>
    <x v="0"/>
    <x v="9"/>
    <n v="7.9"/>
  </r>
  <r>
    <x v="6"/>
    <x v="6"/>
    <x v="2"/>
    <x v="8"/>
    <x v="2"/>
    <x v="8"/>
    <n v="6.4"/>
  </r>
  <r>
    <x v="7"/>
    <x v="7"/>
    <x v="3"/>
    <x v="8"/>
    <x v="2"/>
    <x v="14"/>
    <n v="6"/>
  </r>
  <r>
    <x v="8"/>
    <x v="8"/>
    <x v="1"/>
    <x v="8"/>
    <x v="2"/>
    <x v="15"/>
    <n v="7.1"/>
  </r>
  <r>
    <x v="9"/>
    <x v="9"/>
    <x v="0"/>
    <x v="8"/>
    <x v="0"/>
    <x v="0"/>
    <n v="8.1999999999999993"/>
  </r>
  <r>
    <x v="0"/>
    <x v="0"/>
    <x v="0"/>
    <x v="9"/>
    <x v="0"/>
    <x v="9"/>
    <n v="8.8000000000000007"/>
  </r>
  <r>
    <x v="1"/>
    <x v="1"/>
    <x v="1"/>
    <x v="9"/>
    <x v="0"/>
    <x v="16"/>
    <n v="8.8000000000000007"/>
  </r>
  <r>
    <x v="2"/>
    <x v="2"/>
    <x v="2"/>
    <x v="9"/>
    <x v="2"/>
    <x v="11"/>
    <n v="7.5"/>
  </r>
  <r>
    <x v="3"/>
    <x v="3"/>
    <x v="1"/>
    <x v="9"/>
    <x v="0"/>
    <x v="7"/>
    <n v="8.5"/>
  </r>
  <r>
    <x v="4"/>
    <x v="4"/>
    <x v="3"/>
    <x v="9"/>
    <x v="0"/>
    <x v="0"/>
    <n v="8.3000000000000007"/>
  </r>
  <r>
    <x v="5"/>
    <x v="5"/>
    <x v="0"/>
    <x v="9"/>
    <x v="0"/>
    <x v="7"/>
    <n v="8.5"/>
  </r>
  <r>
    <x v="6"/>
    <x v="6"/>
    <x v="2"/>
    <x v="9"/>
    <x v="0"/>
    <x v="4"/>
    <n v="7.6"/>
  </r>
  <r>
    <x v="7"/>
    <x v="7"/>
    <x v="3"/>
    <x v="9"/>
    <x v="0"/>
    <x v="9"/>
    <n v="9"/>
  </r>
  <r>
    <x v="8"/>
    <x v="8"/>
    <x v="1"/>
    <x v="9"/>
    <x v="0"/>
    <x v="4"/>
    <n v="8.9"/>
  </r>
  <r>
    <x v="9"/>
    <x v="9"/>
    <x v="0"/>
    <x v="9"/>
    <x v="0"/>
    <x v="7"/>
    <n v="8.8000000000000007"/>
  </r>
  <r>
    <x v="0"/>
    <x v="0"/>
    <x v="0"/>
    <x v="10"/>
    <x v="0"/>
    <x v="9"/>
    <n v="8.9"/>
  </r>
  <r>
    <x v="1"/>
    <x v="1"/>
    <x v="1"/>
    <x v="10"/>
    <x v="0"/>
    <x v="9"/>
    <n v="8.1"/>
  </r>
  <r>
    <x v="2"/>
    <x v="2"/>
    <x v="2"/>
    <x v="10"/>
    <x v="2"/>
    <x v="17"/>
    <n v="6.5"/>
  </r>
  <r>
    <x v="3"/>
    <x v="3"/>
    <x v="1"/>
    <x v="10"/>
    <x v="0"/>
    <x v="9"/>
    <n v="7.5"/>
  </r>
  <r>
    <x v="4"/>
    <x v="4"/>
    <x v="3"/>
    <x v="10"/>
    <x v="0"/>
    <x v="7"/>
    <n v="7.6"/>
  </r>
  <r>
    <x v="5"/>
    <x v="5"/>
    <x v="0"/>
    <x v="10"/>
    <x v="0"/>
    <x v="7"/>
    <n v="8.1999999999999993"/>
  </r>
  <r>
    <x v="6"/>
    <x v="6"/>
    <x v="2"/>
    <x v="10"/>
    <x v="0"/>
    <x v="7"/>
    <n v="8.3000000000000007"/>
  </r>
  <r>
    <x v="7"/>
    <x v="7"/>
    <x v="3"/>
    <x v="10"/>
    <x v="0"/>
    <x v="7"/>
    <n v="8.9"/>
  </r>
  <r>
    <x v="8"/>
    <x v="8"/>
    <x v="1"/>
    <x v="10"/>
    <x v="0"/>
    <x v="4"/>
    <n v="7.8"/>
  </r>
  <r>
    <x v="9"/>
    <x v="9"/>
    <x v="0"/>
    <x v="10"/>
    <x v="0"/>
    <x v="6"/>
    <n v="8.3000000000000007"/>
  </r>
  <r>
    <x v="0"/>
    <x v="0"/>
    <x v="0"/>
    <x v="11"/>
    <x v="0"/>
    <x v="6"/>
    <n v="8.9"/>
  </r>
  <r>
    <x v="1"/>
    <x v="1"/>
    <x v="1"/>
    <x v="11"/>
    <x v="0"/>
    <x v="0"/>
    <n v="8.1999999999999993"/>
  </r>
  <r>
    <x v="2"/>
    <x v="2"/>
    <x v="2"/>
    <x v="11"/>
    <x v="2"/>
    <x v="11"/>
    <n v="7.1"/>
  </r>
  <r>
    <x v="3"/>
    <x v="3"/>
    <x v="1"/>
    <x v="11"/>
    <x v="0"/>
    <x v="0"/>
    <n v="7.8"/>
  </r>
  <r>
    <x v="4"/>
    <x v="4"/>
    <x v="3"/>
    <x v="11"/>
    <x v="0"/>
    <x v="7"/>
    <n v="8.9"/>
  </r>
  <r>
    <x v="5"/>
    <x v="5"/>
    <x v="0"/>
    <x v="11"/>
    <x v="0"/>
    <x v="7"/>
    <n v="8.6"/>
  </r>
  <r>
    <x v="6"/>
    <x v="6"/>
    <x v="2"/>
    <x v="11"/>
    <x v="0"/>
    <x v="4"/>
    <n v="7.6"/>
  </r>
  <r>
    <x v="7"/>
    <x v="7"/>
    <x v="3"/>
    <x v="11"/>
    <x v="2"/>
    <x v="14"/>
    <n v="6"/>
  </r>
  <r>
    <x v="8"/>
    <x v="8"/>
    <x v="1"/>
    <x v="11"/>
    <x v="0"/>
    <x v="4"/>
    <n v="8.1999999999999993"/>
  </r>
  <r>
    <x v="9"/>
    <x v="9"/>
    <x v="0"/>
    <x v="11"/>
    <x v="0"/>
    <x v="0"/>
    <n v="7.9"/>
  </r>
  <r>
    <x v="0"/>
    <x v="0"/>
    <x v="0"/>
    <x v="12"/>
    <x v="0"/>
    <x v="9"/>
    <n v="8.1"/>
  </r>
  <r>
    <x v="1"/>
    <x v="1"/>
    <x v="1"/>
    <x v="12"/>
    <x v="0"/>
    <x v="9"/>
    <n v="8.1"/>
  </r>
  <r>
    <x v="2"/>
    <x v="2"/>
    <x v="2"/>
    <x v="12"/>
    <x v="0"/>
    <x v="7"/>
    <n v="8"/>
  </r>
  <r>
    <x v="3"/>
    <x v="3"/>
    <x v="1"/>
    <x v="12"/>
    <x v="0"/>
    <x v="9"/>
    <n v="7.7"/>
  </r>
  <r>
    <x v="4"/>
    <x v="4"/>
    <x v="3"/>
    <x v="12"/>
    <x v="0"/>
    <x v="4"/>
    <n v="8.5"/>
  </r>
  <r>
    <x v="5"/>
    <x v="5"/>
    <x v="0"/>
    <x v="12"/>
    <x v="0"/>
    <x v="6"/>
    <n v="8.3000000000000007"/>
  </r>
  <r>
    <x v="6"/>
    <x v="6"/>
    <x v="2"/>
    <x v="12"/>
    <x v="0"/>
    <x v="0"/>
    <n v="7.9"/>
  </r>
  <r>
    <x v="7"/>
    <x v="7"/>
    <x v="3"/>
    <x v="12"/>
    <x v="0"/>
    <x v="4"/>
    <n v="9"/>
  </r>
  <r>
    <x v="8"/>
    <x v="8"/>
    <x v="1"/>
    <x v="12"/>
    <x v="0"/>
    <x v="6"/>
    <n v="8.6999999999999993"/>
  </r>
  <r>
    <x v="9"/>
    <x v="9"/>
    <x v="0"/>
    <x v="12"/>
    <x v="0"/>
    <x v="9"/>
    <n v="8.6999999999999993"/>
  </r>
  <r>
    <x v="0"/>
    <x v="0"/>
    <x v="0"/>
    <x v="13"/>
    <x v="0"/>
    <x v="7"/>
    <n v="8.1999999999999993"/>
  </r>
  <r>
    <x v="1"/>
    <x v="1"/>
    <x v="1"/>
    <x v="13"/>
    <x v="0"/>
    <x v="0"/>
    <n v="7.9"/>
  </r>
  <r>
    <x v="2"/>
    <x v="2"/>
    <x v="2"/>
    <x v="13"/>
    <x v="0"/>
    <x v="9"/>
    <n v="8.6"/>
  </r>
  <r>
    <x v="3"/>
    <x v="3"/>
    <x v="1"/>
    <x v="13"/>
    <x v="1"/>
    <x v="1"/>
    <n v="0"/>
  </r>
  <r>
    <x v="4"/>
    <x v="4"/>
    <x v="3"/>
    <x v="13"/>
    <x v="2"/>
    <x v="14"/>
    <n v="7.4"/>
  </r>
  <r>
    <x v="5"/>
    <x v="5"/>
    <x v="0"/>
    <x v="13"/>
    <x v="0"/>
    <x v="9"/>
    <n v="8.4"/>
  </r>
  <r>
    <x v="6"/>
    <x v="6"/>
    <x v="2"/>
    <x v="13"/>
    <x v="0"/>
    <x v="6"/>
    <n v="7.6"/>
  </r>
  <r>
    <x v="7"/>
    <x v="7"/>
    <x v="3"/>
    <x v="13"/>
    <x v="0"/>
    <x v="9"/>
    <n v="8.9"/>
  </r>
  <r>
    <x v="8"/>
    <x v="8"/>
    <x v="1"/>
    <x v="13"/>
    <x v="0"/>
    <x v="0"/>
    <n v="7.9"/>
  </r>
  <r>
    <x v="9"/>
    <x v="9"/>
    <x v="0"/>
    <x v="13"/>
    <x v="2"/>
    <x v="12"/>
    <n v="6.3"/>
  </r>
  <r>
    <x v="0"/>
    <x v="0"/>
    <x v="0"/>
    <x v="14"/>
    <x v="2"/>
    <x v="13"/>
    <n v="6.2"/>
  </r>
  <r>
    <x v="1"/>
    <x v="1"/>
    <x v="1"/>
    <x v="14"/>
    <x v="0"/>
    <x v="7"/>
    <n v="8.5"/>
  </r>
  <r>
    <x v="2"/>
    <x v="2"/>
    <x v="2"/>
    <x v="14"/>
    <x v="0"/>
    <x v="4"/>
    <n v="8.6"/>
  </r>
  <r>
    <x v="3"/>
    <x v="3"/>
    <x v="1"/>
    <x v="14"/>
    <x v="2"/>
    <x v="3"/>
    <n v="7.3"/>
  </r>
  <r>
    <x v="4"/>
    <x v="4"/>
    <x v="3"/>
    <x v="14"/>
    <x v="1"/>
    <x v="1"/>
    <n v="0"/>
  </r>
  <r>
    <x v="5"/>
    <x v="5"/>
    <x v="0"/>
    <x v="14"/>
    <x v="0"/>
    <x v="0"/>
    <n v="7.9"/>
  </r>
  <r>
    <x v="6"/>
    <x v="6"/>
    <x v="2"/>
    <x v="14"/>
    <x v="0"/>
    <x v="4"/>
    <n v="8.8000000000000007"/>
  </r>
  <r>
    <x v="7"/>
    <x v="7"/>
    <x v="3"/>
    <x v="14"/>
    <x v="2"/>
    <x v="8"/>
    <n v="6.2"/>
  </r>
  <r>
    <x v="8"/>
    <x v="8"/>
    <x v="1"/>
    <x v="14"/>
    <x v="0"/>
    <x v="9"/>
    <n v="8.6999999999999993"/>
  </r>
  <r>
    <x v="9"/>
    <x v="9"/>
    <x v="0"/>
    <x v="14"/>
    <x v="0"/>
    <x v="9"/>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0AC44-F1E1-4CE0-BDA8-60DB14D5ACC6}" name="PivotTable12"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2:R19" firstHeaderRow="1" firstDataRow="2" firstDataCol="1"/>
  <pivotFields count="7">
    <pivotField showAll="0"/>
    <pivotField showAll="0"/>
    <pivotField showAll="0">
      <items count="5">
        <item x="0"/>
        <item x="2"/>
        <item x="3"/>
        <item x="1"/>
        <item t="default"/>
      </items>
    </pivotField>
    <pivotField axis="axisRow" numFmtId="14" showAll="0">
      <items count="16">
        <item x="0"/>
        <item x="1"/>
        <item x="2"/>
        <item x="3"/>
        <item x="4"/>
        <item x="5"/>
        <item x="6"/>
        <item x="7"/>
        <item x="8"/>
        <item x="9"/>
        <item x="10"/>
        <item x="11"/>
        <item x="12"/>
        <item x="13"/>
        <item x="14"/>
        <item t="default"/>
      </items>
    </pivotField>
    <pivotField axis="axisCol" dataField="1" showAll="0">
      <items count="4">
        <item x="1"/>
        <item x="2"/>
        <item x="0"/>
        <item t="default"/>
      </items>
    </pivotField>
    <pivotField showAll="0">
      <items count="19">
        <item x="16"/>
        <item x="1"/>
        <item x="6"/>
        <item x="4"/>
        <item x="0"/>
        <item x="9"/>
        <item x="7"/>
        <item x="10"/>
        <item x="8"/>
        <item x="5"/>
        <item x="11"/>
        <item x="12"/>
        <item x="14"/>
        <item x="13"/>
        <item x="15"/>
        <item x="3"/>
        <item x="17"/>
        <item x="2"/>
        <item t="default"/>
      </items>
    </pivotField>
    <pivotField showAll="0"/>
  </pivotFields>
  <rowFields count="1">
    <field x="3"/>
  </rowFields>
  <rowItems count="16">
    <i>
      <x/>
    </i>
    <i>
      <x v="1"/>
    </i>
    <i>
      <x v="2"/>
    </i>
    <i>
      <x v="3"/>
    </i>
    <i>
      <x v="4"/>
    </i>
    <i>
      <x v="5"/>
    </i>
    <i>
      <x v="6"/>
    </i>
    <i>
      <x v="7"/>
    </i>
    <i>
      <x v="8"/>
    </i>
    <i>
      <x v="9"/>
    </i>
    <i>
      <x v="10"/>
    </i>
    <i>
      <x v="11"/>
    </i>
    <i>
      <x v="12"/>
    </i>
    <i>
      <x v="13"/>
    </i>
    <i>
      <x v="14"/>
    </i>
    <i t="grand">
      <x/>
    </i>
  </rowItems>
  <colFields count="1">
    <field x="4"/>
  </colFields>
  <colItems count="4">
    <i>
      <x/>
    </i>
    <i>
      <x v="1"/>
    </i>
    <i>
      <x v="2"/>
    </i>
    <i t="grand">
      <x/>
    </i>
  </colItems>
  <dataFields count="1">
    <dataField name="Count of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94ACE-B3E1-4BE8-A900-1CD6CF66D66D}" name="PivotTable11"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E30" firstHeaderRow="1" firstDataRow="2" firstDataCol="1"/>
  <pivotFields count="7">
    <pivotField showAll="0"/>
    <pivotField showAll="0"/>
    <pivotField axis="axisRow" showAll="0">
      <items count="5">
        <item x="0"/>
        <item x="2"/>
        <item x="3"/>
        <item x="1"/>
        <item t="default"/>
      </items>
    </pivotField>
    <pivotField numFmtId="14" showAll="0"/>
    <pivotField axis="axisCol" dataField="1" showAll="0">
      <items count="4">
        <item x="1"/>
        <item x="2"/>
        <item x="0"/>
        <item t="default"/>
      </items>
    </pivotField>
    <pivotField showAll="0"/>
    <pivotField showAll="0"/>
  </pivotFields>
  <rowFields count="1">
    <field x="2"/>
  </rowFields>
  <rowItems count="5">
    <i>
      <x/>
    </i>
    <i>
      <x v="1"/>
    </i>
    <i>
      <x v="2"/>
    </i>
    <i>
      <x v="3"/>
    </i>
    <i t="grand">
      <x/>
    </i>
  </rowItems>
  <colFields count="1">
    <field x="4"/>
  </colFields>
  <colItems count="4">
    <i>
      <x/>
    </i>
    <i>
      <x v="1"/>
    </i>
    <i>
      <x v="2"/>
    </i>
    <i t="grand">
      <x/>
    </i>
  </colItems>
  <dataFields count="1">
    <dataField name="Count of Status" fld="4" subtotal="count" baseField="0" baseItem="0"/>
  </dataFields>
  <chartFormats count="3">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AFF44-CAE6-4244-9970-43A3B7E63249}" name="PivotTable6"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5:L19" firstHeaderRow="1" firstDataRow="1" firstDataCol="1"/>
  <pivotFields count="7">
    <pivotField showAll="0"/>
    <pivotField showAll="0"/>
    <pivotField showAll="0">
      <items count="5">
        <item x="0"/>
        <item x="2"/>
        <item x="3"/>
        <item x="1"/>
        <item t="default"/>
      </items>
    </pivotField>
    <pivotField numFmtId="14" showAll="0"/>
    <pivotField axis="axisRow" dataField="1" showAll="0">
      <items count="4">
        <item x="1"/>
        <item x="2"/>
        <item x="0"/>
        <item t="default"/>
      </items>
    </pivotField>
    <pivotField showAll="0"/>
    <pivotField showAll="0"/>
  </pivotFields>
  <rowFields count="1">
    <field x="4"/>
  </rowFields>
  <rowItems count="4">
    <i>
      <x/>
    </i>
    <i>
      <x v="1"/>
    </i>
    <i>
      <x v="2"/>
    </i>
    <i t="grand">
      <x/>
    </i>
  </rowItems>
  <colItems count="1">
    <i/>
  </colItems>
  <dataFields count="1">
    <dataField name="Count of Status" fld="4"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BC611-9D5D-45A5-9362-E44055E7CD90}" name="PivotTable5"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H23" firstHeaderRow="1" firstDataRow="2" firstDataCol="1"/>
  <pivotFields count="7">
    <pivotField showAll="0"/>
    <pivotField axis="axisRow" showAll="0">
      <items count="11">
        <item x="0"/>
        <item x="2"/>
        <item x="5"/>
        <item x="6"/>
        <item x="4"/>
        <item x="3"/>
        <item x="8"/>
        <item x="7"/>
        <item x="1"/>
        <item x="9"/>
        <item t="default"/>
      </items>
    </pivotField>
    <pivotField showAll="0">
      <items count="5">
        <item x="0"/>
        <item x="2"/>
        <item x="3"/>
        <item x="1"/>
        <item t="default"/>
      </items>
    </pivotField>
    <pivotField numFmtId="14" showAll="0"/>
    <pivotField axis="axisCol" dataField="1" showAll="0">
      <items count="4">
        <item x="1"/>
        <item x="2"/>
        <item x="0"/>
        <item t="default"/>
      </items>
    </pivotField>
    <pivotField showAll="0"/>
    <pivotField showAll="0"/>
  </pivotFields>
  <rowFields count="1">
    <field x="1"/>
  </rowFields>
  <rowItems count="11">
    <i>
      <x/>
    </i>
    <i>
      <x v="1"/>
    </i>
    <i>
      <x v="2"/>
    </i>
    <i>
      <x v="3"/>
    </i>
    <i>
      <x v="4"/>
    </i>
    <i>
      <x v="5"/>
    </i>
    <i>
      <x v="6"/>
    </i>
    <i>
      <x v="7"/>
    </i>
    <i>
      <x v="8"/>
    </i>
    <i>
      <x v="9"/>
    </i>
    <i t="grand">
      <x/>
    </i>
  </rowItems>
  <colFields count="1">
    <field x="4"/>
  </colFields>
  <colItems count="4">
    <i>
      <x/>
    </i>
    <i>
      <x v="1"/>
    </i>
    <i>
      <x v="2"/>
    </i>
    <i t="grand">
      <x/>
    </i>
  </colItems>
  <dataFields count="1">
    <dataField name="Count of Status" fld="4"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E11F3-85FC-4F64-987C-E66E28701C1D}" name="PivotTable4"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3:E8" firstHeaderRow="1" firstDataRow="1" firstDataCol="1" rowPageCount="1" colPageCount="1"/>
  <pivotFields count="7">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numFmtId="14" showAll="0"/>
    <pivotField axis="axisPage" dataField="1" showAll="0">
      <items count="4">
        <item x="1"/>
        <item x="2"/>
        <item x="0"/>
        <item t="default"/>
      </items>
    </pivotField>
    <pivotField showAll="0"/>
    <pivotField showAll="0"/>
  </pivotFields>
  <rowFields count="1">
    <field x="2"/>
  </rowFields>
  <rowItems count="5">
    <i>
      <x v="2"/>
    </i>
    <i>
      <x v="3"/>
    </i>
    <i>
      <x v="1"/>
    </i>
    <i>
      <x/>
    </i>
    <i t="grand">
      <x/>
    </i>
  </rowItems>
  <colItems count="1">
    <i/>
  </colItems>
  <pageFields count="1">
    <pageField fld="4" item="1" hier="-1"/>
  </pageFields>
  <dataFields count="1">
    <dataField name="Count of Status" fld="4"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8A2D6-B2DA-42B1-B82C-93D251651B6F}" name="PivotTable3"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3" firstHeaderRow="1" firstDataRow="1" firstDataCol="1" rowPageCount="1" colPageCount="1"/>
  <pivotFields count="7">
    <pivotField showAll="0"/>
    <pivotField showAll="0">
      <items count="11">
        <item x="0"/>
        <item x="2"/>
        <item x="5"/>
        <item x="6"/>
        <item x="4"/>
        <item x="3"/>
        <item x="8"/>
        <item x="7"/>
        <item x="1"/>
        <item x="9"/>
        <item t="default"/>
      </items>
    </pivotField>
    <pivotField axis="axisRow" showAll="0">
      <items count="5">
        <item x="0"/>
        <item x="2"/>
        <item x="3"/>
        <item x="1"/>
        <item t="default"/>
      </items>
    </pivotField>
    <pivotField numFmtId="14" showAll="0"/>
    <pivotField axis="axisPage" dataField="1" showAll="0">
      <items count="4">
        <item x="1"/>
        <item x="2"/>
        <item x="0"/>
        <item t="default"/>
      </items>
    </pivotField>
    <pivotField showAll="0"/>
    <pivotField showAll="0"/>
  </pivotFields>
  <rowFields count="1">
    <field x="2"/>
  </rowFields>
  <rowItems count="5">
    <i>
      <x/>
    </i>
    <i>
      <x v="1"/>
    </i>
    <i>
      <x v="2"/>
    </i>
    <i>
      <x v="3"/>
    </i>
    <i t="grand">
      <x/>
    </i>
  </rowItems>
  <colItems count="1">
    <i/>
  </colItems>
  <pageFields count="1">
    <pageField fld="4" item="0" hier="-1"/>
  </pageFields>
  <dataFields count="1">
    <dataField name="Count of Status" fld="4" subtotal="count"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B43ED5-EBF0-4E28-B7BB-3585222A5A59}" name="PivotTable1"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dataField="1" showAll="0">
      <items count="11">
        <item x="0"/>
        <item x="1"/>
        <item x="2"/>
        <item x="3"/>
        <item x="4"/>
        <item x="5"/>
        <item x="6"/>
        <item x="7"/>
        <item x="8"/>
        <item x="9"/>
        <item t="default"/>
      </items>
    </pivotField>
    <pivotField showAll="0"/>
    <pivotField showAll="0">
      <items count="5">
        <item x="0"/>
        <item x="2"/>
        <item x="3"/>
        <item x="1"/>
        <item t="default"/>
      </items>
    </pivotField>
    <pivotField numFmtId="14" showAll="0"/>
    <pivotField showAll="0"/>
    <pivotField showAll="0"/>
    <pivotField showAll="0"/>
  </pivotFields>
  <rowItems count="1">
    <i/>
  </rowItems>
  <colItems count="1">
    <i/>
  </colItems>
  <dataFields count="1">
    <dataField name="TOTAL ATTENDANCE RECORD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F456D8F-F517-4A86-B8C2-B8AC14CE7A11}" sourceName="Department">
  <pivotTables>
    <pivotTable tabId="4" name="PivotTable4"/>
    <pivotTable tabId="4" name="PivotTable1"/>
    <pivotTable tabId="4" name="PivotTable11"/>
    <pivotTable tabId="4" name="PivotTable12"/>
    <pivotTable tabId="4" name="PivotTable3"/>
    <pivotTable tabId="4" name="PivotTable5"/>
    <pivotTable tabId="4" name="PivotTable6"/>
  </pivotTables>
  <data>
    <tabular pivotCacheId="130546106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9F4FF0D-7395-40F6-AC54-FA150966FF53}" cache="Slicer_Department" caption="Department" columnCount="4"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E7793F-17CC-4F87-A0AF-88195863EFDB}" name="Table1" displayName="Table1" ref="A1:G151" totalsRowShown="0" headerRowDxfId="4" headerRowBorderDxfId="13" tableBorderDxfId="14" totalsRowBorderDxfId="12">
  <autoFilter ref="A1:G151" xr:uid="{FEE7793F-17CC-4F87-A0AF-88195863EFD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9F3775-F1FC-4037-B839-ADAFB34574BE}" name="Employee_ID" dataDxfId="11"/>
    <tableColumn id="2" xr3:uid="{30C925DC-4722-4DA2-BBE8-AA85B1EA106E}" name="Employee_Name" dataDxfId="10"/>
    <tableColumn id="3" xr3:uid="{F02A2138-4FB0-4063-B551-C6B32892B889}" name="Department" dataDxfId="9"/>
    <tableColumn id="4" xr3:uid="{5447812E-4969-4B3A-9795-28F62378E464}" name="Date" dataDxfId="8"/>
    <tableColumn id="5" xr3:uid="{520D8475-E3A3-4529-8A33-C9A58FC4D195}" name="Status" dataDxfId="7"/>
    <tableColumn id="6" xr3:uid="{4E5D4318-3BF1-482C-B882-8158BDA28AF5}" name="CheckIn_Time" dataDxfId="6"/>
    <tableColumn id="7" xr3:uid="{AFDFB9B5-5096-4B8F-97C1-72D9290F117E}" name="Work_Hours" dataDxfId="5"/>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8"/>
  <sheetViews>
    <sheetView workbookViewId="0"/>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v>8.8000000000000007</v>
      </c>
    </row>
    <row r="3" spans="1:7" x14ac:dyDescent="0.35">
      <c r="A3" t="s">
        <v>13</v>
      </c>
      <c r="B3" t="s">
        <v>14</v>
      </c>
      <c r="C3" t="s">
        <v>15</v>
      </c>
      <c r="D3" t="s">
        <v>16</v>
      </c>
      <c r="E3" t="s">
        <v>17</v>
      </c>
      <c r="F3" t="s">
        <v>18</v>
      </c>
      <c r="G3">
        <v>0</v>
      </c>
    </row>
    <row r="4" spans="1:7" x14ac:dyDescent="0.35">
      <c r="A4" t="s">
        <v>19</v>
      </c>
      <c r="B4" t="s">
        <v>20</v>
      </c>
      <c r="C4" t="s">
        <v>21</v>
      </c>
      <c r="D4" t="s">
        <v>16</v>
      </c>
      <c r="E4" t="s">
        <v>22</v>
      </c>
      <c r="F4" t="s">
        <v>23</v>
      </c>
      <c r="G4">
        <v>6.8</v>
      </c>
    </row>
    <row r="5" spans="1:7" x14ac:dyDescent="0.35">
      <c r="A5" t="s">
        <v>24</v>
      </c>
      <c r="B5" t="s">
        <v>25</v>
      </c>
      <c r="C5" t="s">
        <v>26</v>
      </c>
      <c r="D5" t="s">
        <v>16</v>
      </c>
      <c r="E5" t="s">
        <v>17</v>
      </c>
      <c r="F5" t="s">
        <v>18</v>
      </c>
      <c r="G5">
        <v>0</v>
      </c>
    </row>
    <row r="6" spans="1:7" x14ac:dyDescent="0.35">
      <c r="A6" t="s">
        <v>27</v>
      </c>
      <c r="B6" t="s">
        <v>28</v>
      </c>
      <c r="C6" t="s">
        <v>29</v>
      </c>
      <c r="D6" t="s">
        <v>16</v>
      </c>
      <c r="E6" t="s">
        <v>11</v>
      </c>
      <c r="F6" t="s">
        <v>12</v>
      </c>
      <c r="G6">
        <v>8.1999999999999993</v>
      </c>
    </row>
    <row r="7" spans="1:7" x14ac:dyDescent="0.35">
      <c r="A7" t="s">
        <v>30</v>
      </c>
      <c r="B7" t="s">
        <v>31</v>
      </c>
      <c r="C7" t="s">
        <v>9</v>
      </c>
      <c r="D7" t="s">
        <v>16</v>
      </c>
      <c r="E7" t="s">
        <v>11</v>
      </c>
      <c r="F7" t="s">
        <v>12</v>
      </c>
      <c r="G7">
        <v>7.8</v>
      </c>
    </row>
    <row r="8" spans="1:7" x14ac:dyDescent="0.35">
      <c r="A8" t="s">
        <v>32</v>
      </c>
      <c r="B8" t="s">
        <v>33</v>
      </c>
      <c r="C8" t="s">
        <v>34</v>
      </c>
      <c r="D8" t="s">
        <v>35</v>
      </c>
      <c r="E8" t="s">
        <v>22</v>
      </c>
      <c r="F8" t="s">
        <v>36</v>
      </c>
      <c r="G8">
        <v>7.2</v>
      </c>
    </row>
    <row r="9" spans="1:7" x14ac:dyDescent="0.35">
      <c r="A9" t="s">
        <v>37</v>
      </c>
      <c r="B9" t="s">
        <v>38</v>
      </c>
      <c r="C9" t="s">
        <v>29</v>
      </c>
      <c r="D9" t="s">
        <v>35</v>
      </c>
      <c r="E9" t="s">
        <v>11</v>
      </c>
      <c r="F9" t="s">
        <v>39</v>
      </c>
      <c r="G9">
        <v>7.8</v>
      </c>
    </row>
    <row r="10" spans="1:7" x14ac:dyDescent="0.35">
      <c r="A10" t="s">
        <v>40</v>
      </c>
      <c r="B10" t="s">
        <v>41</v>
      </c>
      <c r="C10" t="s">
        <v>15</v>
      </c>
      <c r="D10" t="s">
        <v>35</v>
      </c>
      <c r="E10" t="s">
        <v>11</v>
      </c>
      <c r="F10" t="s">
        <v>39</v>
      </c>
      <c r="G10">
        <v>8.9</v>
      </c>
    </row>
    <row r="11" spans="1:7" x14ac:dyDescent="0.35">
      <c r="A11" t="s">
        <v>42</v>
      </c>
      <c r="B11" t="s">
        <v>43</v>
      </c>
      <c r="C11" t="s">
        <v>44</v>
      </c>
      <c r="D11" t="s">
        <v>10</v>
      </c>
      <c r="E11" t="s">
        <v>22</v>
      </c>
      <c r="F11" t="s">
        <v>45</v>
      </c>
      <c r="G11">
        <v>7.3</v>
      </c>
    </row>
    <row r="12" spans="1:7" x14ac:dyDescent="0.35">
      <c r="A12" t="s">
        <v>7</v>
      </c>
      <c r="B12" t="s">
        <v>8</v>
      </c>
      <c r="C12" t="s">
        <v>44</v>
      </c>
      <c r="D12" t="s">
        <v>46</v>
      </c>
      <c r="E12" t="s">
        <v>11</v>
      </c>
      <c r="F12" t="s">
        <v>47</v>
      </c>
      <c r="G12">
        <v>7.9</v>
      </c>
    </row>
    <row r="13" spans="1:7" x14ac:dyDescent="0.35">
      <c r="A13" t="s">
        <v>13</v>
      </c>
      <c r="B13" t="s">
        <v>14</v>
      </c>
      <c r="C13" t="s">
        <v>15</v>
      </c>
      <c r="D13" t="s">
        <v>48</v>
      </c>
      <c r="E13" t="s">
        <v>11</v>
      </c>
      <c r="F13" t="s">
        <v>47</v>
      </c>
      <c r="G13">
        <v>8.8000000000000007</v>
      </c>
    </row>
    <row r="14" spans="1:7" x14ac:dyDescent="0.35">
      <c r="A14" t="s">
        <v>19</v>
      </c>
      <c r="B14" t="s">
        <v>20</v>
      </c>
      <c r="C14" t="s">
        <v>34</v>
      </c>
      <c r="D14" t="s">
        <v>48</v>
      </c>
      <c r="E14" t="s">
        <v>11</v>
      </c>
      <c r="F14" t="s">
        <v>49</v>
      </c>
      <c r="G14">
        <v>8.1</v>
      </c>
    </row>
    <row r="15" spans="1:7" x14ac:dyDescent="0.35">
      <c r="A15" t="s">
        <v>24</v>
      </c>
      <c r="B15" t="s">
        <v>25</v>
      </c>
      <c r="C15" t="s">
        <v>26</v>
      </c>
      <c r="D15" t="s">
        <v>46</v>
      </c>
      <c r="E15" t="s">
        <v>22</v>
      </c>
      <c r="F15" t="s">
        <v>50</v>
      </c>
      <c r="G15">
        <v>7.2</v>
      </c>
    </row>
    <row r="16" spans="1:7" x14ac:dyDescent="0.35">
      <c r="A16" t="s">
        <v>27</v>
      </c>
      <c r="B16" t="s">
        <v>28</v>
      </c>
      <c r="C16" t="s">
        <v>51</v>
      </c>
      <c r="D16" t="s">
        <v>48</v>
      </c>
      <c r="E16" t="s">
        <v>17</v>
      </c>
    </row>
    <row r="17" spans="1:7" x14ac:dyDescent="0.35">
      <c r="A17" t="s">
        <v>30</v>
      </c>
      <c r="B17" t="s">
        <v>31</v>
      </c>
      <c r="C17" t="s">
        <v>44</v>
      </c>
      <c r="D17" t="s">
        <v>52</v>
      </c>
      <c r="E17" t="s">
        <v>11</v>
      </c>
      <c r="F17" t="s">
        <v>12</v>
      </c>
      <c r="G17">
        <v>7.7</v>
      </c>
    </row>
    <row r="18" spans="1:7" x14ac:dyDescent="0.35">
      <c r="A18" t="s">
        <v>32</v>
      </c>
      <c r="B18" t="s">
        <v>33</v>
      </c>
      <c r="C18" t="s">
        <v>21</v>
      </c>
      <c r="D18" t="s">
        <v>46</v>
      </c>
      <c r="E18" t="s">
        <v>17</v>
      </c>
    </row>
    <row r="19" spans="1:7" x14ac:dyDescent="0.35">
      <c r="A19" t="s">
        <v>37</v>
      </c>
      <c r="B19" t="s">
        <v>38</v>
      </c>
      <c r="C19" t="s">
        <v>53</v>
      </c>
      <c r="D19" t="s">
        <v>52</v>
      </c>
      <c r="E19" t="s">
        <v>11</v>
      </c>
      <c r="F19" t="s">
        <v>54</v>
      </c>
      <c r="G19">
        <v>7.8</v>
      </c>
    </row>
    <row r="20" spans="1:7" x14ac:dyDescent="0.35">
      <c r="A20" t="s">
        <v>40</v>
      </c>
      <c r="B20" t="s">
        <v>41</v>
      </c>
      <c r="C20" t="s">
        <v>26</v>
      </c>
      <c r="D20" t="s">
        <v>46</v>
      </c>
      <c r="E20" t="s">
        <v>11</v>
      </c>
      <c r="F20" t="s">
        <v>47</v>
      </c>
      <c r="G20">
        <v>8.1</v>
      </c>
    </row>
    <row r="21" spans="1:7" x14ac:dyDescent="0.35">
      <c r="A21" t="s">
        <v>42</v>
      </c>
      <c r="B21" t="s">
        <v>43</v>
      </c>
      <c r="C21" t="s">
        <v>44</v>
      </c>
      <c r="D21" t="s">
        <v>46</v>
      </c>
      <c r="E21" t="s">
        <v>11</v>
      </c>
      <c r="F21" t="s">
        <v>54</v>
      </c>
      <c r="G21">
        <v>7.6</v>
      </c>
    </row>
    <row r="22" spans="1:7" x14ac:dyDescent="0.35">
      <c r="A22" t="s">
        <v>7</v>
      </c>
      <c r="B22" t="s">
        <v>8</v>
      </c>
      <c r="C22" t="s">
        <v>55</v>
      </c>
      <c r="D22" t="s">
        <v>56</v>
      </c>
      <c r="E22" t="s">
        <v>22</v>
      </c>
      <c r="F22" t="s">
        <v>57</v>
      </c>
      <c r="G22">
        <v>7.5</v>
      </c>
    </row>
    <row r="23" spans="1:7" x14ac:dyDescent="0.35">
      <c r="A23" t="s">
        <v>13</v>
      </c>
      <c r="B23" t="s">
        <v>14</v>
      </c>
      <c r="C23" t="s">
        <v>15</v>
      </c>
      <c r="D23" t="s">
        <v>58</v>
      </c>
      <c r="E23" t="s">
        <v>11</v>
      </c>
      <c r="F23" t="s">
        <v>39</v>
      </c>
      <c r="G23">
        <v>7.9</v>
      </c>
    </row>
    <row r="24" spans="1:7" x14ac:dyDescent="0.35">
      <c r="A24" t="s">
        <v>19</v>
      </c>
      <c r="B24" t="s">
        <v>20</v>
      </c>
      <c r="C24" t="s">
        <v>59</v>
      </c>
      <c r="D24" t="s">
        <v>56</v>
      </c>
      <c r="E24" t="s">
        <v>22</v>
      </c>
      <c r="F24" t="s">
        <v>23</v>
      </c>
      <c r="G24">
        <v>6.2</v>
      </c>
    </row>
    <row r="25" spans="1:7" x14ac:dyDescent="0.35">
      <c r="A25" t="s">
        <v>24</v>
      </c>
      <c r="B25" t="s">
        <v>25</v>
      </c>
      <c r="C25" t="s">
        <v>15</v>
      </c>
      <c r="D25" t="s">
        <v>60</v>
      </c>
      <c r="E25" t="s">
        <v>17</v>
      </c>
      <c r="F25" t="s">
        <v>18</v>
      </c>
      <c r="G25">
        <v>0</v>
      </c>
    </row>
    <row r="26" spans="1:7" x14ac:dyDescent="0.35">
      <c r="A26" t="s">
        <v>27</v>
      </c>
      <c r="B26" t="s">
        <v>28</v>
      </c>
      <c r="C26" t="s">
        <v>29</v>
      </c>
      <c r="D26" t="s">
        <v>60</v>
      </c>
      <c r="E26" t="s">
        <v>11</v>
      </c>
      <c r="F26" t="s">
        <v>47</v>
      </c>
      <c r="G26">
        <v>8</v>
      </c>
    </row>
    <row r="27" spans="1:7" x14ac:dyDescent="0.35">
      <c r="A27" t="s">
        <v>30</v>
      </c>
      <c r="B27" t="s">
        <v>31</v>
      </c>
      <c r="C27" t="s">
        <v>55</v>
      </c>
      <c r="D27" t="s">
        <v>56</v>
      </c>
      <c r="E27" t="s">
        <v>11</v>
      </c>
      <c r="F27" t="s">
        <v>39</v>
      </c>
      <c r="G27">
        <v>7.9</v>
      </c>
    </row>
    <row r="28" spans="1:7" x14ac:dyDescent="0.35">
      <c r="A28" t="s">
        <v>32</v>
      </c>
      <c r="B28" t="s">
        <v>33</v>
      </c>
      <c r="C28" t="s">
        <v>21</v>
      </c>
      <c r="D28" t="s">
        <v>60</v>
      </c>
      <c r="E28" t="s">
        <v>11</v>
      </c>
      <c r="F28" t="s">
        <v>12</v>
      </c>
      <c r="G28">
        <v>7.7</v>
      </c>
    </row>
    <row r="29" spans="1:7" x14ac:dyDescent="0.35">
      <c r="A29" t="s">
        <v>37</v>
      </c>
      <c r="B29" t="s">
        <v>38</v>
      </c>
      <c r="C29" t="s">
        <v>53</v>
      </c>
      <c r="D29" t="s">
        <v>58</v>
      </c>
      <c r="E29" t="s">
        <v>11</v>
      </c>
      <c r="F29" t="s">
        <v>12</v>
      </c>
      <c r="G29">
        <v>7.9</v>
      </c>
    </row>
    <row r="30" spans="1:7" x14ac:dyDescent="0.35">
      <c r="A30" t="s">
        <v>40</v>
      </c>
      <c r="B30" t="s">
        <v>41</v>
      </c>
      <c r="C30" t="s">
        <v>15</v>
      </c>
      <c r="D30" t="s">
        <v>58</v>
      </c>
      <c r="E30" t="s">
        <v>11</v>
      </c>
      <c r="F30" t="s">
        <v>54</v>
      </c>
      <c r="G30">
        <v>8.4</v>
      </c>
    </row>
    <row r="31" spans="1:7" x14ac:dyDescent="0.35">
      <c r="A31" t="s">
        <v>42</v>
      </c>
      <c r="B31" t="s">
        <v>43</v>
      </c>
      <c r="C31" t="s">
        <v>44</v>
      </c>
      <c r="D31" t="s">
        <v>58</v>
      </c>
      <c r="E31" t="s">
        <v>11</v>
      </c>
      <c r="F31" t="s">
        <v>12</v>
      </c>
      <c r="G31">
        <v>8</v>
      </c>
    </row>
    <row r="32" spans="1:7" x14ac:dyDescent="0.35">
      <c r="A32" t="s">
        <v>7</v>
      </c>
      <c r="B32" t="s">
        <v>8</v>
      </c>
      <c r="C32" t="s">
        <v>9</v>
      </c>
      <c r="D32" t="s">
        <v>61</v>
      </c>
      <c r="E32" t="s">
        <v>11</v>
      </c>
      <c r="F32" t="s">
        <v>12</v>
      </c>
      <c r="G32">
        <v>7.8</v>
      </c>
    </row>
    <row r="33" spans="1:7" x14ac:dyDescent="0.35">
      <c r="A33" t="s">
        <v>13</v>
      </c>
      <c r="B33" t="s">
        <v>14</v>
      </c>
      <c r="C33" t="s">
        <v>26</v>
      </c>
      <c r="D33" t="s">
        <v>62</v>
      </c>
      <c r="E33" t="s">
        <v>11</v>
      </c>
      <c r="F33" t="s">
        <v>39</v>
      </c>
      <c r="G33">
        <v>9</v>
      </c>
    </row>
    <row r="34" spans="1:7" x14ac:dyDescent="0.35">
      <c r="A34" t="s">
        <v>19</v>
      </c>
      <c r="B34" t="s">
        <v>20</v>
      </c>
      <c r="C34" t="s">
        <v>21</v>
      </c>
      <c r="D34" t="s">
        <v>63</v>
      </c>
      <c r="E34" t="s">
        <v>11</v>
      </c>
      <c r="F34" t="s">
        <v>54</v>
      </c>
      <c r="G34">
        <v>8</v>
      </c>
    </row>
    <row r="35" spans="1:7" x14ac:dyDescent="0.35">
      <c r="A35" t="s">
        <v>24</v>
      </c>
      <c r="B35" t="s">
        <v>25</v>
      </c>
      <c r="C35" t="s">
        <v>64</v>
      </c>
      <c r="D35" t="s">
        <v>63</v>
      </c>
      <c r="E35" t="s">
        <v>17</v>
      </c>
      <c r="F35" t="s">
        <v>18</v>
      </c>
      <c r="G35">
        <v>0</v>
      </c>
    </row>
    <row r="36" spans="1:7" x14ac:dyDescent="0.35">
      <c r="A36" t="s">
        <v>27</v>
      </c>
      <c r="B36" t="s">
        <v>28</v>
      </c>
      <c r="C36" t="s">
        <v>53</v>
      </c>
      <c r="D36" t="s">
        <v>61</v>
      </c>
      <c r="E36" t="s">
        <v>11</v>
      </c>
      <c r="F36" t="s">
        <v>49</v>
      </c>
      <c r="G36">
        <v>8.1999999999999993</v>
      </c>
    </row>
    <row r="37" spans="1:7" x14ac:dyDescent="0.35">
      <c r="A37" t="s">
        <v>30</v>
      </c>
      <c r="B37" t="s">
        <v>31</v>
      </c>
      <c r="C37" t="s">
        <v>9</v>
      </c>
      <c r="D37" t="s">
        <v>62</v>
      </c>
      <c r="E37" t="s">
        <v>11</v>
      </c>
      <c r="F37" t="s">
        <v>12</v>
      </c>
      <c r="G37">
        <v>8</v>
      </c>
    </row>
    <row r="38" spans="1:7" x14ac:dyDescent="0.35">
      <c r="A38" t="s">
        <v>32</v>
      </c>
      <c r="B38" t="s">
        <v>33</v>
      </c>
      <c r="C38" t="s">
        <v>21</v>
      </c>
      <c r="D38" t="s">
        <v>63</v>
      </c>
      <c r="E38" t="s">
        <v>17</v>
      </c>
      <c r="F38" t="s">
        <v>18</v>
      </c>
    </row>
    <row r="39" spans="1:7" x14ac:dyDescent="0.35">
      <c r="A39" t="s">
        <v>37</v>
      </c>
      <c r="B39" t="s">
        <v>38</v>
      </c>
      <c r="C39" t="s">
        <v>51</v>
      </c>
      <c r="D39" t="s">
        <v>63</v>
      </c>
      <c r="E39" t="s">
        <v>17</v>
      </c>
      <c r="G39">
        <v>0</v>
      </c>
    </row>
    <row r="40" spans="1:7" x14ac:dyDescent="0.35">
      <c r="A40" t="s">
        <v>40</v>
      </c>
      <c r="B40" t="s">
        <v>41</v>
      </c>
      <c r="C40" t="s">
        <v>26</v>
      </c>
      <c r="D40" t="s">
        <v>63</v>
      </c>
      <c r="E40" t="s">
        <v>11</v>
      </c>
      <c r="F40" t="s">
        <v>12</v>
      </c>
      <c r="G40">
        <v>8.6999999999999993</v>
      </c>
    </row>
    <row r="41" spans="1:7" x14ac:dyDescent="0.35">
      <c r="A41" t="s">
        <v>42</v>
      </c>
      <c r="B41" t="s">
        <v>43</v>
      </c>
      <c r="C41" t="s">
        <v>55</v>
      </c>
      <c r="D41" t="s">
        <v>62</v>
      </c>
      <c r="E41" t="s">
        <v>11</v>
      </c>
      <c r="F41" t="s">
        <v>49</v>
      </c>
      <c r="G41">
        <v>8.8000000000000007</v>
      </c>
    </row>
    <row r="42" spans="1:7" x14ac:dyDescent="0.35">
      <c r="A42" t="s">
        <v>7</v>
      </c>
      <c r="B42" t="s">
        <v>8</v>
      </c>
      <c r="C42" t="s">
        <v>9</v>
      </c>
      <c r="D42" t="s">
        <v>65</v>
      </c>
      <c r="E42" t="s">
        <v>17</v>
      </c>
      <c r="G42">
        <v>0</v>
      </c>
    </row>
    <row r="43" spans="1:7" x14ac:dyDescent="0.35">
      <c r="A43" t="s">
        <v>13</v>
      </c>
      <c r="B43" t="s">
        <v>14</v>
      </c>
      <c r="C43" t="s">
        <v>64</v>
      </c>
      <c r="D43" t="s">
        <v>65</v>
      </c>
      <c r="E43" t="s">
        <v>17</v>
      </c>
      <c r="G43">
        <v>0</v>
      </c>
    </row>
    <row r="44" spans="1:7" x14ac:dyDescent="0.35">
      <c r="A44" t="s">
        <v>19</v>
      </c>
      <c r="B44" t="s">
        <v>20</v>
      </c>
      <c r="C44" t="s">
        <v>21</v>
      </c>
      <c r="D44" t="s">
        <v>65</v>
      </c>
      <c r="E44" t="s">
        <v>11</v>
      </c>
      <c r="F44" t="s">
        <v>49</v>
      </c>
      <c r="G44">
        <v>7.7</v>
      </c>
    </row>
    <row r="45" spans="1:7" x14ac:dyDescent="0.35">
      <c r="A45" t="s">
        <v>24</v>
      </c>
      <c r="B45" t="s">
        <v>25</v>
      </c>
      <c r="C45" t="s">
        <v>26</v>
      </c>
      <c r="D45" t="s">
        <v>66</v>
      </c>
      <c r="E45" t="s">
        <v>17</v>
      </c>
      <c r="G45">
        <v>0</v>
      </c>
    </row>
    <row r="46" spans="1:7" x14ac:dyDescent="0.35">
      <c r="A46" t="s">
        <v>27</v>
      </c>
      <c r="B46" t="s">
        <v>28</v>
      </c>
      <c r="C46" t="s">
        <v>53</v>
      </c>
      <c r="D46" t="s">
        <v>66</v>
      </c>
      <c r="E46" t="s">
        <v>11</v>
      </c>
      <c r="F46" t="s">
        <v>47</v>
      </c>
      <c r="G46">
        <v>8.8000000000000007</v>
      </c>
    </row>
    <row r="47" spans="1:7" x14ac:dyDescent="0.35">
      <c r="A47" t="s">
        <v>30</v>
      </c>
      <c r="B47" t="s">
        <v>31</v>
      </c>
      <c r="C47" t="s">
        <v>44</v>
      </c>
      <c r="D47" t="s">
        <v>67</v>
      </c>
      <c r="E47" t="s">
        <v>11</v>
      </c>
      <c r="F47" t="s">
        <v>47</v>
      </c>
      <c r="G47">
        <v>7.9</v>
      </c>
    </row>
    <row r="48" spans="1:7" x14ac:dyDescent="0.35">
      <c r="A48" t="s">
        <v>32</v>
      </c>
      <c r="B48" t="s">
        <v>33</v>
      </c>
      <c r="C48" t="s">
        <v>34</v>
      </c>
      <c r="D48" t="s">
        <v>66</v>
      </c>
      <c r="E48" t="s">
        <v>11</v>
      </c>
      <c r="F48" t="s">
        <v>39</v>
      </c>
      <c r="G48">
        <v>8.1</v>
      </c>
    </row>
    <row r="49" spans="1:7" x14ac:dyDescent="0.35">
      <c r="A49" t="s">
        <v>37</v>
      </c>
      <c r="B49" t="s">
        <v>38</v>
      </c>
      <c r="C49" t="s">
        <v>29</v>
      </c>
      <c r="D49" t="s">
        <v>65</v>
      </c>
      <c r="E49" t="s">
        <v>11</v>
      </c>
      <c r="F49" t="s">
        <v>39</v>
      </c>
      <c r="G49">
        <v>9</v>
      </c>
    </row>
    <row r="50" spans="1:7" x14ac:dyDescent="0.35">
      <c r="A50" t="s">
        <v>40</v>
      </c>
      <c r="B50" t="s">
        <v>41</v>
      </c>
      <c r="C50" t="s">
        <v>26</v>
      </c>
      <c r="D50" t="s">
        <v>67</v>
      </c>
      <c r="E50" t="s">
        <v>22</v>
      </c>
      <c r="F50" t="s">
        <v>68</v>
      </c>
      <c r="G50">
        <v>6.1</v>
      </c>
    </row>
    <row r="51" spans="1:7" x14ac:dyDescent="0.35">
      <c r="A51" t="s">
        <v>42</v>
      </c>
      <c r="B51" t="s">
        <v>43</v>
      </c>
      <c r="C51" t="s">
        <v>44</v>
      </c>
      <c r="D51" t="s">
        <v>65</v>
      </c>
      <c r="E51" t="s">
        <v>11</v>
      </c>
      <c r="F51" t="s">
        <v>12</v>
      </c>
      <c r="G51">
        <v>8.6999999999999993</v>
      </c>
    </row>
    <row r="52" spans="1:7" x14ac:dyDescent="0.35">
      <c r="A52" t="s">
        <v>7</v>
      </c>
      <c r="B52" t="s">
        <v>8</v>
      </c>
      <c r="C52" t="s">
        <v>44</v>
      </c>
      <c r="D52" t="s">
        <v>69</v>
      </c>
      <c r="E52" t="s">
        <v>11</v>
      </c>
      <c r="F52" t="s">
        <v>54</v>
      </c>
      <c r="G52">
        <v>8.5</v>
      </c>
    </row>
    <row r="53" spans="1:7" x14ac:dyDescent="0.35">
      <c r="A53" t="s">
        <v>13</v>
      </c>
      <c r="B53" t="s">
        <v>14</v>
      </c>
      <c r="C53" t="s">
        <v>64</v>
      </c>
      <c r="D53" t="s">
        <v>70</v>
      </c>
      <c r="E53" t="s">
        <v>11</v>
      </c>
      <c r="F53" t="s">
        <v>47</v>
      </c>
      <c r="G53">
        <v>8.4</v>
      </c>
    </row>
    <row r="54" spans="1:7" x14ac:dyDescent="0.35">
      <c r="A54" t="s">
        <v>19</v>
      </c>
      <c r="B54" t="s">
        <v>20</v>
      </c>
      <c r="C54" t="s">
        <v>34</v>
      </c>
      <c r="D54" t="s">
        <v>69</v>
      </c>
      <c r="E54" t="s">
        <v>11</v>
      </c>
      <c r="F54" t="s">
        <v>49</v>
      </c>
      <c r="G54">
        <v>8</v>
      </c>
    </row>
    <row r="55" spans="1:7" x14ac:dyDescent="0.35">
      <c r="A55" t="s">
        <v>24</v>
      </c>
      <c r="B55" t="s">
        <v>25</v>
      </c>
      <c r="C55" t="s">
        <v>64</v>
      </c>
      <c r="D55" t="s">
        <v>70</v>
      </c>
      <c r="E55" t="s">
        <v>17</v>
      </c>
    </row>
    <row r="56" spans="1:7" x14ac:dyDescent="0.35">
      <c r="A56" t="s">
        <v>27</v>
      </c>
      <c r="B56" t="s">
        <v>28</v>
      </c>
      <c r="C56" t="s">
        <v>51</v>
      </c>
      <c r="D56" t="s">
        <v>69</v>
      </c>
      <c r="E56" t="s">
        <v>22</v>
      </c>
      <c r="F56" t="s">
        <v>71</v>
      </c>
      <c r="G56">
        <v>6.6</v>
      </c>
    </row>
    <row r="57" spans="1:7" x14ac:dyDescent="0.35">
      <c r="A57" t="s">
        <v>30</v>
      </c>
      <c r="B57" t="s">
        <v>31</v>
      </c>
      <c r="C57" t="s">
        <v>9</v>
      </c>
      <c r="D57" t="s">
        <v>70</v>
      </c>
      <c r="E57" t="s">
        <v>11</v>
      </c>
      <c r="F57" t="s">
        <v>47</v>
      </c>
      <c r="G57">
        <v>8.6999999999999993</v>
      </c>
    </row>
    <row r="58" spans="1:7" x14ac:dyDescent="0.35">
      <c r="A58" t="s">
        <v>32</v>
      </c>
      <c r="B58" t="s">
        <v>33</v>
      </c>
      <c r="C58" t="s">
        <v>59</v>
      </c>
      <c r="D58" t="s">
        <v>72</v>
      </c>
      <c r="E58" t="s">
        <v>11</v>
      </c>
      <c r="F58" t="s">
        <v>54</v>
      </c>
      <c r="G58">
        <v>8.1999999999999993</v>
      </c>
    </row>
    <row r="59" spans="1:7" x14ac:dyDescent="0.35">
      <c r="A59" t="s">
        <v>37</v>
      </c>
      <c r="B59" t="s">
        <v>38</v>
      </c>
      <c r="C59" t="s">
        <v>51</v>
      </c>
      <c r="D59" t="s">
        <v>72</v>
      </c>
      <c r="E59" t="s">
        <v>11</v>
      </c>
      <c r="F59" t="s">
        <v>49</v>
      </c>
      <c r="G59">
        <v>8.1999999999999993</v>
      </c>
    </row>
    <row r="60" spans="1:7" x14ac:dyDescent="0.35">
      <c r="A60" t="s">
        <v>40</v>
      </c>
      <c r="B60" t="s">
        <v>41</v>
      </c>
      <c r="C60" t="s">
        <v>26</v>
      </c>
      <c r="D60" t="s">
        <v>72</v>
      </c>
      <c r="E60" t="s">
        <v>11</v>
      </c>
      <c r="F60" t="s">
        <v>47</v>
      </c>
      <c r="G60">
        <v>7.6</v>
      </c>
    </row>
    <row r="61" spans="1:7" x14ac:dyDescent="0.35">
      <c r="A61" t="s">
        <v>42</v>
      </c>
      <c r="B61" t="s">
        <v>43</v>
      </c>
      <c r="C61" t="s">
        <v>55</v>
      </c>
      <c r="D61" t="s">
        <v>69</v>
      </c>
      <c r="E61" t="s">
        <v>11</v>
      </c>
      <c r="F61" t="s">
        <v>54</v>
      </c>
      <c r="G61">
        <v>8.6999999999999993</v>
      </c>
    </row>
    <row r="62" spans="1:7" x14ac:dyDescent="0.35">
      <c r="A62" t="s">
        <v>7</v>
      </c>
      <c r="B62" t="s">
        <v>8</v>
      </c>
      <c r="C62" t="s">
        <v>55</v>
      </c>
      <c r="D62" t="s">
        <v>73</v>
      </c>
      <c r="E62" t="s">
        <v>17</v>
      </c>
      <c r="G62">
        <v>0</v>
      </c>
    </row>
    <row r="63" spans="1:7" x14ac:dyDescent="0.35">
      <c r="A63" t="s">
        <v>13</v>
      </c>
      <c r="B63" t="s">
        <v>14</v>
      </c>
      <c r="C63" t="s">
        <v>15</v>
      </c>
      <c r="D63" t="s">
        <v>74</v>
      </c>
      <c r="E63" t="s">
        <v>11</v>
      </c>
      <c r="F63" t="s">
        <v>49</v>
      </c>
      <c r="G63">
        <v>8.6999999999999993</v>
      </c>
    </row>
    <row r="64" spans="1:7" x14ac:dyDescent="0.35">
      <c r="A64" t="s">
        <v>19</v>
      </c>
      <c r="B64" t="s">
        <v>20</v>
      </c>
      <c r="C64" t="s">
        <v>59</v>
      </c>
      <c r="D64" t="s">
        <v>75</v>
      </c>
      <c r="E64" t="s">
        <v>11</v>
      </c>
      <c r="F64" t="s">
        <v>49</v>
      </c>
      <c r="G64">
        <v>8.1</v>
      </c>
    </row>
    <row r="65" spans="1:7" x14ac:dyDescent="0.35">
      <c r="A65" t="s">
        <v>24</v>
      </c>
      <c r="B65" t="s">
        <v>25</v>
      </c>
      <c r="C65" t="s">
        <v>26</v>
      </c>
      <c r="D65" t="s">
        <v>75</v>
      </c>
      <c r="E65" t="s">
        <v>22</v>
      </c>
      <c r="F65" t="s">
        <v>68</v>
      </c>
      <c r="G65">
        <v>7</v>
      </c>
    </row>
    <row r="66" spans="1:7" x14ac:dyDescent="0.35">
      <c r="A66" t="s">
        <v>27</v>
      </c>
      <c r="B66" t="s">
        <v>28</v>
      </c>
      <c r="C66" t="s">
        <v>53</v>
      </c>
      <c r="D66" t="s">
        <v>75</v>
      </c>
      <c r="E66" t="s">
        <v>11</v>
      </c>
      <c r="F66" t="s">
        <v>54</v>
      </c>
      <c r="G66">
        <v>7.5</v>
      </c>
    </row>
    <row r="67" spans="1:7" x14ac:dyDescent="0.35">
      <c r="A67" t="s">
        <v>30</v>
      </c>
      <c r="B67" t="s">
        <v>31</v>
      </c>
      <c r="C67" t="s">
        <v>44</v>
      </c>
      <c r="D67" t="s">
        <v>73</v>
      </c>
      <c r="E67" t="s">
        <v>11</v>
      </c>
      <c r="F67" t="s">
        <v>12</v>
      </c>
      <c r="G67">
        <v>8.3000000000000007</v>
      </c>
    </row>
    <row r="68" spans="1:7" x14ac:dyDescent="0.35">
      <c r="A68" t="s">
        <v>32</v>
      </c>
      <c r="B68" t="s">
        <v>33</v>
      </c>
      <c r="C68" t="s">
        <v>34</v>
      </c>
      <c r="D68" t="s">
        <v>75</v>
      </c>
      <c r="E68" t="s">
        <v>11</v>
      </c>
      <c r="F68" t="s">
        <v>54</v>
      </c>
      <c r="G68">
        <v>8</v>
      </c>
    </row>
    <row r="69" spans="1:7" x14ac:dyDescent="0.35">
      <c r="A69" t="s">
        <v>37</v>
      </c>
      <c r="B69" t="s">
        <v>38</v>
      </c>
      <c r="C69" t="s">
        <v>53</v>
      </c>
      <c r="D69" t="s">
        <v>73</v>
      </c>
      <c r="E69" t="s">
        <v>11</v>
      </c>
      <c r="F69" t="s">
        <v>49</v>
      </c>
      <c r="G69">
        <v>8.1</v>
      </c>
    </row>
    <row r="70" spans="1:7" x14ac:dyDescent="0.35">
      <c r="A70" t="s">
        <v>40</v>
      </c>
      <c r="B70" t="s">
        <v>41</v>
      </c>
      <c r="C70" t="s">
        <v>64</v>
      </c>
      <c r="D70" t="s">
        <v>75</v>
      </c>
      <c r="E70" t="s">
        <v>11</v>
      </c>
      <c r="F70" t="s">
        <v>39</v>
      </c>
      <c r="G70">
        <v>8.1</v>
      </c>
    </row>
    <row r="71" spans="1:7" x14ac:dyDescent="0.35">
      <c r="A71" t="s">
        <v>42</v>
      </c>
      <c r="B71" t="s">
        <v>43</v>
      </c>
      <c r="C71" t="s">
        <v>44</v>
      </c>
      <c r="D71" t="s">
        <v>73</v>
      </c>
      <c r="E71" t="s">
        <v>22</v>
      </c>
      <c r="F71" t="s">
        <v>71</v>
      </c>
      <c r="G71">
        <v>7.3</v>
      </c>
    </row>
    <row r="72" spans="1:7" x14ac:dyDescent="0.35">
      <c r="A72" t="s">
        <v>7</v>
      </c>
      <c r="B72" t="s">
        <v>8</v>
      </c>
      <c r="C72" t="s">
        <v>55</v>
      </c>
      <c r="D72" t="s">
        <v>76</v>
      </c>
      <c r="E72" t="s">
        <v>11</v>
      </c>
      <c r="F72" t="s">
        <v>47</v>
      </c>
      <c r="G72">
        <v>8</v>
      </c>
    </row>
    <row r="73" spans="1:7" x14ac:dyDescent="0.35">
      <c r="A73" t="s">
        <v>13</v>
      </c>
      <c r="B73" t="s">
        <v>14</v>
      </c>
      <c r="C73" t="s">
        <v>26</v>
      </c>
      <c r="D73" t="s">
        <v>77</v>
      </c>
      <c r="E73" t="s">
        <v>11</v>
      </c>
      <c r="F73" t="s">
        <v>12</v>
      </c>
      <c r="G73">
        <v>7.6</v>
      </c>
    </row>
    <row r="74" spans="1:7" x14ac:dyDescent="0.35">
      <c r="A74" t="s">
        <v>19</v>
      </c>
      <c r="B74" t="s">
        <v>20</v>
      </c>
      <c r="C74" t="s">
        <v>34</v>
      </c>
      <c r="D74" t="s">
        <v>78</v>
      </c>
      <c r="E74" t="s">
        <v>11</v>
      </c>
      <c r="F74" t="s">
        <v>49</v>
      </c>
      <c r="G74">
        <v>8.6999999999999993</v>
      </c>
    </row>
    <row r="75" spans="1:7" x14ac:dyDescent="0.35">
      <c r="A75" t="s">
        <v>24</v>
      </c>
      <c r="B75" t="s">
        <v>25</v>
      </c>
      <c r="C75" t="s">
        <v>15</v>
      </c>
      <c r="D75" t="s">
        <v>76</v>
      </c>
      <c r="E75" t="s">
        <v>11</v>
      </c>
      <c r="F75" t="s">
        <v>47</v>
      </c>
      <c r="G75">
        <v>8</v>
      </c>
    </row>
    <row r="76" spans="1:7" x14ac:dyDescent="0.35">
      <c r="A76" t="s">
        <v>27</v>
      </c>
      <c r="B76" t="s">
        <v>28</v>
      </c>
      <c r="C76" t="s">
        <v>53</v>
      </c>
      <c r="D76" t="s">
        <v>76</v>
      </c>
      <c r="E76" t="s">
        <v>11</v>
      </c>
      <c r="F76" t="s">
        <v>47</v>
      </c>
      <c r="G76">
        <v>8.1</v>
      </c>
    </row>
    <row r="77" spans="1:7" x14ac:dyDescent="0.35">
      <c r="A77" t="s">
        <v>30</v>
      </c>
      <c r="B77" t="s">
        <v>31</v>
      </c>
      <c r="C77" t="s">
        <v>9</v>
      </c>
      <c r="D77" t="s">
        <v>78</v>
      </c>
      <c r="E77" t="s">
        <v>22</v>
      </c>
      <c r="F77" t="s">
        <v>23</v>
      </c>
      <c r="G77">
        <v>6.4</v>
      </c>
    </row>
    <row r="78" spans="1:7" x14ac:dyDescent="0.35">
      <c r="A78" t="s">
        <v>32</v>
      </c>
      <c r="B78" t="s">
        <v>33</v>
      </c>
      <c r="C78" t="s">
        <v>59</v>
      </c>
      <c r="D78" t="s">
        <v>77</v>
      </c>
      <c r="E78" t="s">
        <v>11</v>
      </c>
      <c r="F78" t="s">
        <v>12</v>
      </c>
      <c r="G78">
        <v>8.9</v>
      </c>
    </row>
    <row r="79" spans="1:7" x14ac:dyDescent="0.35">
      <c r="A79" t="s">
        <v>37</v>
      </c>
      <c r="B79" t="s">
        <v>38</v>
      </c>
      <c r="C79" t="s">
        <v>51</v>
      </c>
      <c r="D79" t="s">
        <v>78</v>
      </c>
      <c r="E79" t="s">
        <v>11</v>
      </c>
      <c r="F79" t="s">
        <v>12</v>
      </c>
      <c r="G79">
        <v>7.8</v>
      </c>
    </row>
    <row r="80" spans="1:7" x14ac:dyDescent="0.35">
      <c r="A80" t="s">
        <v>40</v>
      </c>
      <c r="B80" t="s">
        <v>41</v>
      </c>
      <c r="C80" t="s">
        <v>15</v>
      </c>
      <c r="D80" t="s">
        <v>77</v>
      </c>
      <c r="E80" t="s">
        <v>22</v>
      </c>
      <c r="F80" t="s">
        <v>79</v>
      </c>
      <c r="G80">
        <v>6.4</v>
      </c>
    </row>
    <row r="81" spans="1:7" x14ac:dyDescent="0.35">
      <c r="A81" t="s">
        <v>42</v>
      </c>
      <c r="B81" t="s">
        <v>43</v>
      </c>
      <c r="C81" t="s">
        <v>44</v>
      </c>
      <c r="D81" t="s">
        <v>76</v>
      </c>
      <c r="E81" t="s">
        <v>22</v>
      </c>
      <c r="F81" t="s">
        <v>50</v>
      </c>
      <c r="G81">
        <v>7.3</v>
      </c>
    </row>
    <row r="82" spans="1:7" x14ac:dyDescent="0.35">
      <c r="A82" t="s">
        <v>7</v>
      </c>
      <c r="B82" t="s">
        <v>8</v>
      </c>
      <c r="C82" t="s">
        <v>9</v>
      </c>
      <c r="D82" t="s">
        <v>80</v>
      </c>
      <c r="E82" t="s">
        <v>22</v>
      </c>
      <c r="F82" t="s">
        <v>23</v>
      </c>
      <c r="G82">
        <v>6.7</v>
      </c>
    </row>
    <row r="83" spans="1:7" x14ac:dyDescent="0.35">
      <c r="A83" t="s">
        <v>13</v>
      </c>
      <c r="B83" t="s">
        <v>14</v>
      </c>
      <c r="C83" t="s">
        <v>15</v>
      </c>
      <c r="D83" t="s">
        <v>81</v>
      </c>
      <c r="E83" t="s">
        <v>11</v>
      </c>
      <c r="F83" t="s">
        <v>54</v>
      </c>
      <c r="G83">
        <v>8.6999999999999993</v>
      </c>
    </row>
    <row r="84" spans="1:7" x14ac:dyDescent="0.35">
      <c r="A84" t="s">
        <v>19</v>
      </c>
      <c r="B84" t="s">
        <v>20</v>
      </c>
      <c r="C84" t="s">
        <v>34</v>
      </c>
      <c r="D84" t="s">
        <v>82</v>
      </c>
      <c r="E84" t="s">
        <v>11</v>
      </c>
      <c r="F84" t="s">
        <v>12</v>
      </c>
      <c r="G84">
        <v>8.9</v>
      </c>
    </row>
    <row r="85" spans="1:7" x14ac:dyDescent="0.35">
      <c r="A85" t="s">
        <v>24</v>
      </c>
      <c r="B85" t="s">
        <v>25</v>
      </c>
      <c r="C85" t="s">
        <v>64</v>
      </c>
      <c r="D85" t="s">
        <v>82</v>
      </c>
      <c r="E85" t="s">
        <v>11</v>
      </c>
      <c r="F85" t="s">
        <v>39</v>
      </c>
      <c r="G85">
        <v>7.5</v>
      </c>
    </row>
    <row r="86" spans="1:7" x14ac:dyDescent="0.35">
      <c r="A86" t="s">
        <v>27</v>
      </c>
      <c r="B86" t="s">
        <v>28</v>
      </c>
      <c r="C86" t="s">
        <v>51</v>
      </c>
      <c r="D86" t="s">
        <v>80</v>
      </c>
      <c r="E86" t="s">
        <v>11</v>
      </c>
      <c r="F86" t="s">
        <v>49</v>
      </c>
      <c r="G86">
        <v>8.6999999999999993</v>
      </c>
    </row>
    <row r="87" spans="1:7" x14ac:dyDescent="0.35">
      <c r="A87" t="s">
        <v>30</v>
      </c>
      <c r="B87" t="s">
        <v>31</v>
      </c>
      <c r="C87" t="s">
        <v>44</v>
      </c>
      <c r="D87" t="s">
        <v>82</v>
      </c>
      <c r="E87" t="s">
        <v>11</v>
      </c>
      <c r="F87" t="s">
        <v>54</v>
      </c>
      <c r="G87">
        <v>7.9</v>
      </c>
    </row>
    <row r="88" spans="1:7" x14ac:dyDescent="0.35">
      <c r="A88" t="s">
        <v>32</v>
      </c>
      <c r="B88" t="s">
        <v>33</v>
      </c>
      <c r="C88" t="s">
        <v>21</v>
      </c>
      <c r="D88" t="s">
        <v>82</v>
      </c>
      <c r="E88" t="s">
        <v>22</v>
      </c>
      <c r="F88" t="s">
        <v>50</v>
      </c>
      <c r="G88">
        <v>6.4</v>
      </c>
    </row>
    <row r="89" spans="1:7" x14ac:dyDescent="0.35">
      <c r="A89" t="s">
        <v>37</v>
      </c>
      <c r="B89" t="s">
        <v>38</v>
      </c>
      <c r="C89" t="s">
        <v>51</v>
      </c>
      <c r="D89" t="s">
        <v>82</v>
      </c>
      <c r="E89" t="s">
        <v>22</v>
      </c>
      <c r="F89" t="s">
        <v>83</v>
      </c>
      <c r="G89">
        <v>6</v>
      </c>
    </row>
    <row r="90" spans="1:7" x14ac:dyDescent="0.35">
      <c r="A90" t="s">
        <v>40</v>
      </c>
      <c r="B90" t="s">
        <v>41</v>
      </c>
      <c r="C90" t="s">
        <v>64</v>
      </c>
      <c r="D90" t="s">
        <v>80</v>
      </c>
      <c r="E90" t="s">
        <v>22</v>
      </c>
      <c r="F90" t="s">
        <v>84</v>
      </c>
      <c r="G90">
        <v>7.1</v>
      </c>
    </row>
    <row r="91" spans="1:7" x14ac:dyDescent="0.35">
      <c r="A91" t="s">
        <v>42</v>
      </c>
      <c r="B91" t="s">
        <v>43</v>
      </c>
      <c r="C91" t="s">
        <v>9</v>
      </c>
      <c r="D91" t="s">
        <v>82</v>
      </c>
      <c r="E91" t="s">
        <v>11</v>
      </c>
      <c r="F91" t="s">
        <v>12</v>
      </c>
      <c r="G91">
        <v>8.1999999999999993</v>
      </c>
    </row>
    <row r="92" spans="1:7" x14ac:dyDescent="0.35">
      <c r="A92" t="s">
        <v>7</v>
      </c>
      <c r="B92" t="s">
        <v>8</v>
      </c>
      <c r="C92" t="s">
        <v>9</v>
      </c>
      <c r="D92" t="s">
        <v>85</v>
      </c>
      <c r="E92" t="s">
        <v>11</v>
      </c>
      <c r="F92" t="s">
        <v>54</v>
      </c>
      <c r="G92">
        <v>8.8000000000000007</v>
      </c>
    </row>
    <row r="93" spans="1:7" x14ac:dyDescent="0.35">
      <c r="A93" t="s">
        <v>13</v>
      </c>
      <c r="B93" t="s">
        <v>14</v>
      </c>
      <c r="C93" t="s">
        <v>64</v>
      </c>
      <c r="D93" t="s">
        <v>86</v>
      </c>
      <c r="E93" t="s">
        <v>11</v>
      </c>
      <c r="F93" t="s">
        <v>39</v>
      </c>
      <c r="G93">
        <v>8.8000000000000007</v>
      </c>
    </row>
    <row r="94" spans="1:7" x14ac:dyDescent="0.35">
      <c r="A94" t="s">
        <v>19</v>
      </c>
      <c r="B94" t="s">
        <v>20</v>
      </c>
      <c r="C94" t="s">
        <v>59</v>
      </c>
      <c r="D94" t="s">
        <v>87</v>
      </c>
      <c r="E94" t="s">
        <v>22</v>
      </c>
      <c r="F94" t="s">
        <v>68</v>
      </c>
      <c r="G94">
        <v>7.5</v>
      </c>
    </row>
    <row r="95" spans="1:7" x14ac:dyDescent="0.35">
      <c r="A95" t="s">
        <v>24</v>
      </c>
      <c r="B95" t="s">
        <v>25</v>
      </c>
      <c r="C95" t="s">
        <v>64</v>
      </c>
      <c r="D95" t="s">
        <v>87</v>
      </c>
      <c r="E95" t="s">
        <v>11</v>
      </c>
      <c r="F95" t="s">
        <v>49</v>
      </c>
      <c r="G95">
        <v>8.5</v>
      </c>
    </row>
    <row r="96" spans="1:7" x14ac:dyDescent="0.35">
      <c r="A96" t="s">
        <v>27</v>
      </c>
      <c r="B96" t="s">
        <v>28</v>
      </c>
      <c r="C96" t="s">
        <v>51</v>
      </c>
      <c r="D96" t="s">
        <v>87</v>
      </c>
      <c r="E96" t="s">
        <v>11</v>
      </c>
      <c r="F96" t="s">
        <v>12</v>
      </c>
      <c r="G96">
        <v>8.3000000000000007</v>
      </c>
    </row>
    <row r="97" spans="1:7" x14ac:dyDescent="0.35">
      <c r="A97" t="s">
        <v>30</v>
      </c>
      <c r="B97" t="s">
        <v>31</v>
      </c>
      <c r="C97" t="s">
        <v>9</v>
      </c>
      <c r="D97" t="s">
        <v>85</v>
      </c>
      <c r="E97" t="s">
        <v>11</v>
      </c>
      <c r="F97" t="s">
        <v>49</v>
      </c>
      <c r="G97">
        <v>8.5</v>
      </c>
    </row>
    <row r="98" spans="1:7" x14ac:dyDescent="0.35">
      <c r="A98" t="s">
        <v>32</v>
      </c>
      <c r="B98" t="s">
        <v>33</v>
      </c>
      <c r="C98" t="s">
        <v>59</v>
      </c>
      <c r="D98" t="s">
        <v>86</v>
      </c>
      <c r="E98" t="s">
        <v>11</v>
      </c>
      <c r="F98" t="s">
        <v>39</v>
      </c>
      <c r="G98">
        <v>7.6</v>
      </c>
    </row>
    <row r="99" spans="1:7" x14ac:dyDescent="0.35">
      <c r="A99" t="s">
        <v>37</v>
      </c>
      <c r="B99" t="s">
        <v>38</v>
      </c>
      <c r="C99" t="s">
        <v>51</v>
      </c>
      <c r="D99" t="s">
        <v>87</v>
      </c>
      <c r="E99" t="s">
        <v>11</v>
      </c>
      <c r="F99" t="s">
        <v>54</v>
      </c>
      <c r="G99">
        <v>9</v>
      </c>
    </row>
    <row r="100" spans="1:7" x14ac:dyDescent="0.35">
      <c r="A100" t="s">
        <v>40</v>
      </c>
      <c r="B100" t="s">
        <v>41</v>
      </c>
      <c r="C100" t="s">
        <v>64</v>
      </c>
      <c r="D100" t="s">
        <v>86</v>
      </c>
      <c r="E100" t="s">
        <v>11</v>
      </c>
      <c r="F100" t="s">
        <v>39</v>
      </c>
      <c r="G100">
        <v>8.9</v>
      </c>
    </row>
    <row r="101" spans="1:7" x14ac:dyDescent="0.35">
      <c r="A101" t="s">
        <v>42</v>
      </c>
      <c r="B101" t="s">
        <v>43</v>
      </c>
      <c r="C101" t="s">
        <v>9</v>
      </c>
      <c r="D101" t="s">
        <v>85</v>
      </c>
      <c r="E101" t="s">
        <v>11</v>
      </c>
      <c r="F101" t="s">
        <v>49</v>
      </c>
      <c r="G101">
        <v>8.8000000000000007</v>
      </c>
    </row>
    <row r="102" spans="1:7" x14ac:dyDescent="0.35">
      <c r="A102" t="s">
        <v>7</v>
      </c>
      <c r="B102" t="s">
        <v>8</v>
      </c>
      <c r="C102" t="s">
        <v>55</v>
      </c>
      <c r="D102" t="s">
        <v>88</v>
      </c>
      <c r="E102" t="s">
        <v>11</v>
      </c>
      <c r="F102" t="s">
        <v>54</v>
      </c>
      <c r="G102">
        <v>8.9</v>
      </c>
    </row>
    <row r="103" spans="1:7" x14ac:dyDescent="0.35">
      <c r="A103" t="s">
        <v>13</v>
      </c>
      <c r="B103" t="s">
        <v>14</v>
      </c>
      <c r="C103" t="s">
        <v>64</v>
      </c>
      <c r="D103" t="s">
        <v>88</v>
      </c>
      <c r="E103" t="s">
        <v>11</v>
      </c>
      <c r="F103" t="s">
        <v>54</v>
      </c>
      <c r="G103">
        <v>8.1</v>
      </c>
    </row>
    <row r="104" spans="1:7" x14ac:dyDescent="0.35">
      <c r="A104" t="s">
        <v>19</v>
      </c>
      <c r="B104" t="s">
        <v>20</v>
      </c>
      <c r="C104" t="s">
        <v>34</v>
      </c>
      <c r="D104" t="s">
        <v>89</v>
      </c>
      <c r="E104" t="s">
        <v>22</v>
      </c>
      <c r="F104" t="s">
        <v>90</v>
      </c>
      <c r="G104">
        <v>6.5</v>
      </c>
    </row>
    <row r="105" spans="1:7" x14ac:dyDescent="0.35">
      <c r="A105" t="s">
        <v>24</v>
      </c>
      <c r="B105" t="s">
        <v>25</v>
      </c>
      <c r="C105" t="s">
        <v>26</v>
      </c>
      <c r="D105" t="s">
        <v>89</v>
      </c>
      <c r="E105" t="s">
        <v>11</v>
      </c>
      <c r="F105" t="s">
        <v>54</v>
      </c>
      <c r="G105">
        <v>7.5</v>
      </c>
    </row>
    <row r="106" spans="1:7" x14ac:dyDescent="0.35">
      <c r="A106" t="s">
        <v>27</v>
      </c>
      <c r="B106" t="s">
        <v>28</v>
      </c>
      <c r="C106" t="s">
        <v>53</v>
      </c>
      <c r="D106" t="s">
        <v>91</v>
      </c>
      <c r="E106" t="s">
        <v>11</v>
      </c>
      <c r="F106" t="s">
        <v>49</v>
      </c>
      <c r="G106">
        <v>7.6</v>
      </c>
    </row>
    <row r="107" spans="1:7" x14ac:dyDescent="0.35">
      <c r="A107" t="s">
        <v>30</v>
      </c>
      <c r="B107" t="s">
        <v>31</v>
      </c>
      <c r="C107" t="s">
        <v>9</v>
      </c>
      <c r="D107" t="s">
        <v>89</v>
      </c>
      <c r="E107" t="s">
        <v>11</v>
      </c>
      <c r="F107" t="s">
        <v>49</v>
      </c>
      <c r="G107">
        <v>8.1999999999999993</v>
      </c>
    </row>
    <row r="108" spans="1:7" x14ac:dyDescent="0.35">
      <c r="A108" t="s">
        <v>32</v>
      </c>
      <c r="B108" t="s">
        <v>33</v>
      </c>
      <c r="C108" t="s">
        <v>21</v>
      </c>
      <c r="D108" t="s">
        <v>91</v>
      </c>
      <c r="E108" t="s">
        <v>11</v>
      </c>
      <c r="F108" t="s">
        <v>49</v>
      </c>
      <c r="G108">
        <v>8.3000000000000007</v>
      </c>
    </row>
    <row r="109" spans="1:7" x14ac:dyDescent="0.35">
      <c r="A109" t="s">
        <v>37</v>
      </c>
      <c r="B109" t="s">
        <v>38</v>
      </c>
      <c r="C109" t="s">
        <v>29</v>
      </c>
      <c r="D109" t="s">
        <v>91</v>
      </c>
      <c r="E109" t="s">
        <v>11</v>
      </c>
      <c r="F109" t="s">
        <v>49</v>
      </c>
      <c r="G109">
        <v>8.9</v>
      </c>
    </row>
    <row r="110" spans="1:7" x14ac:dyDescent="0.35">
      <c r="A110" t="s">
        <v>40</v>
      </c>
      <c r="B110" t="s">
        <v>41</v>
      </c>
      <c r="C110" t="s">
        <v>15</v>
      </c>
      <c r="D110" t="s">
        <v>89</v>
      </c>
      <c r="E110" t="s">
        <v>11</v>
      </c>
      <c r="F110" t="s">
        <v>39</v>
      </c>
      <c r="G110">
        <v>7.8</v>
      </c>
    </row>
    <row r="111" spans="1:7" x14ac:dyDescent="0.35">
      <c r="A111" t="s">
        <v>42</v>
      </c>
      <c r="B111" t="s">
        <v>43</v>
      </c>
      <c r="C111" t="s">
        <v>55</v>
      </c>
      <c r="D111" t="s">
        <v>91</v>
      </c>
      <c r="E111" t="s">
        <v>11</v>
      </c>
      <c r="F111" t="s">
        <v>47</v>
      </c>
      <c r="G111">
        <v>8.3000000000000007</v>
      </c>
    </row>
    <row r="112" spans="1:7" x14ac:dyDescent="0.35">
      <c r="A112" t="s">
        <v>7</v>
      </c>
      <c r="B112" t="s">
        <v>8</v>
      </c>
      <c r="C112" t="s">
        <v>44</v>
      </c>
      <c r="D112" t="s">
        <v>92</v>
      </c>
      <c r="E112" t="s">
        <v>11</v>
      </c>
      <c r="F112" t="s">
        <v>47</v>
      </c>
      <c r="G112">
        <v>8.9</v>
      </c>
    </row>
    <row r="113" spans="1:7" x14ac:dyDescent="0.35">
      <c r="A113" t="s">
        <v>13</v>
      </c>
      <c r="B113" t="s">
        <v>14</v>
      </c>
      <c r="C113" t="s">
        <v>26</v>
      </c>
      <c r="D113" t="s">
        <v>92</v>
      </c>
      <c r="E113" t="s">
        <v>11</v>
      </c>
      <c r="F113" t="s">
        <v>12</v>
      </c>
      <c r="G113">
        <v>8.1999999999999993</v>
      </c>
    </row>
    <row r="114" spans="1:7" x14ac:dyDescent="0.35">
      <c r="A114" t="s">
        <v>19</v>
      </c>
      <c r="B114" t="s">
        <v>20</v>
      </c>
      <c r="C114" t="s">
        <v>59</v>
      </c>
      <c r="D114" t="s">
        <v>92</v>
      </c>
      <c r="E114" t="s">
        <v>22</v>
      </c>
      <c r="F114" t="s">
        <v>68</v>
      </c>
      <c r="G114">
        <v>7.1</v>
      </c>
    </row>
    <row r="115" spans="1:7" x14ac:dyDescent="0.35">
      <c r="A115" t="s">
        <v>24</v>
      </c>
      <c r="B115" t="s">
        <v>25</v>
      </c>
      <c r="C115" t="s">
        <v>26</v>
      </c>
      <c r="D115" t="s">
        <v>92</v>
      </c>
      <c r="E115" t="s">
        <v>11</v>
      </c>
      <c r="F115" t="s">
        <v>12</v>
      </c>
      <c r="G115">
        <v>7.8</v>
      </c>
    </row>
    <row r="116" spans="1:7" x14ac:dyDescent="0.35">
      <c r="A116" t="s">
        <v>27</v>
      </c>
      <c r="B116" t="s">
        <v>28</v>
      </c>
      <c r="C116" t="s">
        <v>29</v>
      </c>
      <c r="D116" t="s">
        <v>93</v>
      </c>
      <c r="E116" t="s">
        <v>11</v>
      </c>
      <c r="F116" t="s">
        <v>49</v>
      </c>
      <c r="G116">
        <v>8.9</v>
      </c>
    </row>
    <row r="117" spans="1:7" x14ac:dyDescent="0.35">
      <c r="A117" t="s">
        <v>30</v>
      </c>
      <c r="B117" t="s">
        <v>31</v>
      </c>
      <c r="C117" t="s">
        <v>55</v>
      </c>
      <c r="D117" t="s">
        <v>94</v>
      </c>
      <c r="E117" t="s">
        <v>11</v>
      </c>
      <c r="F117" t="s">
        <v>49</v>
      </c>
      <c r="G117">
        <v>8.6</v>
      </c>
    </row>
    <row r="118" spans="1:7" x14ac:dyDescent="0.35">
      <c r="A118" t="s">
        <v>32</v>
      </c>
      <c r="B118" t="s">
        <v>33</v>
      </c>
      <c r="C118" t="s">
        <v>21</v>
      </c>
      <c r="D118" t="s">
        <v>92</v>
      </c>
      <c r="E118" t="s">
        <v>11</v>
      </c>
      <c r="F118" t="s">
        <v>39</v>
      </c>
      <c r="G118">
        <v>7.6</v>
      </c>
    </row>
    <row r="119" spans="1:7" x14ac:dyDescent="0.35">
      <c r="A119" t="s">
        <v>37</v>
      </c>
      <c r="B119" t="s">
        <v>38</v>
      </c>
      <c r="C119" t="s">
        <v>53</v>
      </c>
      <c r="D119" t="s">
        <v>93</v>
      </c>
      <c r="E119" t="s">
        <v>22</v>
      </c>
      <c r="F119" t="s">
        <v>83</v>
      </c>
      <c r="G119">
        <v>6</v>
      </c>
    </row>
    <row r="120" spans="1:7" x14ac:dyDescent="0.35">
      <c r="A120" t="s">
        <v>40</v>
      </c>
      <c r="B120" t="s">
        <v>41</v>
      </c>
      <c r="C120" t="s">
        <v>64</v>
      </c>
      <c r="D120" t="s">
        <v>94</v>
      </c>
      <c r="E120" t="s">
        <v>11</v>
      </c>
      <c r="F120" t="s">
        <v>39</v>
      </c>
      <c r="G120">
        <v>8.1999999999999993</v>
      </c>
    </row>
    <row r="121" spans="1:7" x14ac:dyDescent="0.35">
      <c r="A121" t="s">
        <v>42</v>
      </c>
      <c r="B121" t="s">
        <v>43</v>
      </c>
      <c r="C121" t="s">
        <v>9</v>
      </c>
      <c r="D121" t="s">
        <v>92</v>
      </c>
      <c r="E121" t="s">
        <v>11</v>
      </c>
      <c r="F121" t="s">
        <v>12</v>
      </c>
      <c r="G121">
        <v>7.9</v>
      </c>
    </row>
    <row r="122" spans="1:7" x14ac:dyDescent="0.35">
      <c r="A122" t="s">
        <v>7</v>
      </c>
      <c r="B122" t="s">
        <v>8</v>
      </c>
      <c r="C122" t="s">
        <v>55</v>
      </c>
      <c r="D122" t="s">
        <v>95</v>
      </c>
      <c r="E122" t="s">
        <v>11</v>
      </c>
      <c r="F122" t="s">
        <v>54</v>
      </c>
      <c r="G122">
        <v>8.1</v>
      </c>
    </row>
    <row r="123" spans="1:7" x14ac:dyDescent="0.35">
      <c r="A123" t="s">
        <v>13</v>
      </c>
      <c r="B123" t="s">
        <v>14</v>
      </c>
      <c r="C123" t="s">
        <v>15</v>
      </c>
      <c r="D123" t="s">
        <v>96</v>
      </c>
      <c r="E123" t="s">
        <v>11</v>
      </c>
      <c r="F123" t="s">
        <v>54</v>
      </c>
      <c r="G123">
        <v>8.1</v>
      </c>
    </row>
    <row r="124" spans="1:7" x14ac:dyDescent="0.35">
      <c r="A124" t="s">
        <v>19</v>
      </c>
      <c r="B124" t="s">
        <v>20</v>
      </c>
      <c r="C124" t="s">
        <v>21</v>
      </c>
      <c r="D124" t="s">
        <v>96</v>
      </c>
      <c r="E124" t="s">
        <v>11</v>
      </c>
      <c r="F124" t="s">
        <v>49</v>
      </c>
      <c r="G124">
        <v>8</v>
      </c>
    </row>
    <row r="125" spans="1:7" x14ac:dyDescent="0.35">
      <c r="A125" t="s">
        <v>24</v>
      </c>
      <c r="B125" t="s">
        <v>25</v>
      </c>
      <c r="C125" t="s">
        <v>15</v>
      </c>
      <c r="D125" t="s">
        <v>95</v>
      </c>
      <c r="E125" t="s">
        <v>11</v>
      </c>
      <c r="F125" t="s">
        <v>54</v>
      </c>
      <c r="G125">
        <v>7.7</v>
      </c>
    </row>
    <row r="126" spans="1:7" x14ac:dyDescent="0.35">
      <c r="A126" t="s">
        <v>27</v>
      </c>
      <c r="B126" t="s">
        <v>28</v>
      </c>
      <c r="C126" t="s">
        <v>51</v>
      </c>
      <c r="D126" t="s">
        <v>95</v>
      </c>
      <c r="E126" t="s">
        <v>11</v>
      </c>
      <c r="F126" t="s">
        <v>39</v>
      </c>
      <c r="G126">
        <v>8.5</v>
      </c>
    </row>
    <row r="127" spans="1:7" x14ac:dyDescent="0.35">
      <c r="A127" t="s">
        <v>30</v>
      </c>
      <c r="B127" t="s">
        <v>31</v>
      </c>
      <c r="C127" t="s">
        <v>44</v>
      </c>
      <c r="D127" t="s">
        <v>97</v>
      </c>
      <c r="E127" t="s">
        <v>11</v>
      </c>
      <c r="F127" t="s">
        <v>47</v>
      </c>
      <c r="G127">
        <v>8.3000000000000007</v>
      </c>
    </row>
    <row r="128" spans="1:7" x14ac:dyDescent="0.35">
      <c r="A128" t="s">
        <v>32</v>
      </c>
      <c r="B128" t="s">
        <v>33</v>
      </c>
      <c r="C128" t="s">
        <v>59</v>
      </c>
      <c r="D128" t="s">
        <v>97</v>
      </c>
      <c r="E128" t="s">
        <v>11</v>
      </c>
      <c r="F128" t="s">
        <v>12</v>
      </c>
      <c r="G128">
        <v>7.9</v>
      </c>
    </row>
    <row r="129" spans="1:7" x14ac:dyDescent="0.35">
      <c r="A129" t="s">
        <v>37</v>
      </c>
      <c r="B129" t="s">
        <v>38</v>
      </c>
      <c r="C129" t="s">
        <v>51</v>
      </c>
      <c r="D129" t="s">
        <v>97</v>
      </c>
      <c r="E129" t="s">
        <v>11</v>
      </c>
      <c r="F129" t="s">
        <v>39</v>
      </c>
      <c r="G129">
        <v>9</v>
      </c>
    </row>
    <row r="130" spans="1:7" x14ac:dyDescent="0.35">
      <c r="A130" t="s">
        <v>40</v>
      </c>
      <c r="B130" t="s">
        <v>41</v>
      </c>
      <c r="C130" t="s">
        <v>64</v>
      </c>
      <c r="D130" t="s">
        <v>95</v>
      </c>
      <c r="E130" t="s">
        <v>11</v>
      </c>
      <c r="F130" t="s">
        <v>47</v>
      </c>
      <c r="G130">
        <v>8.6999999999999993</v>
      </c>
    </row>
    <row r="131" spans="1:7" x14ac:dyDescent="0.35">
      <c r="A131" t="s">
        <v>42</v>
      </c>
      <c r="B131" t="s">
        <v>43</v>
      </c>
      <c r="C131" t="s">
        <v>44</v>
      </c>
      <c r="D131" t="s">
        <v>96</v>
      </c>
      <c r="E131" t="s">
        <v>11</v>
      </c>
      <c r="F131" t="s">
        <v>54</v>
      </c>
      <c r="G131">
        <v>8.6999999999999993</v>
      </c>
    </row>
    <row r="132" spans="1:7" x14ac:dyDescent="0.35">
      <c r="A132" t="s">
        <v>7</v>
      </c>
      <c r="B132" t="s">
        <v>8</v>
      </c>
      <c r="C132" t="s">
        <v>55</v>
      </c>
      <c r="D132" t="s">
        <v>98</v>
      </c>
      <c r="E132" t="s">
        <v>11</v>
      </c>
      <c r="F132" t="s">
        <v>49</v>
      </c>
      <c r="G132">
        <v>8.1999999999999993</v>
      </c>
    </row>
    <row r="133" spans="1:7" x14ac:dyDescent="0.35">
      <c r="A133" t="s">
        <v>13</v>
      </c>
      <c r="B133" t="s">
        <v>14</v>
      </c>
      <c r="C133" t="s">
        <v>64</v>
      </c>
      <c r="D133" t="s">
        <v>98</v>
      </c>
      <c r="E133" t="s">
        <v>11</v>
      </c>
      <c r="F133" t="s">
        <v>12</v>
      </c>
      <c r="G133">
        <v>7.9</v>
      </c>
    </row>
    <row r="134" spans="1:7" x14ac:dyDescent="0.35">
      <c r="A134" t="s">
        <v>19</v>
      </c>
      <c r="B134" t="s">
        <v>20</v>
      </c>
      <c r="C134" t="s">
        <v>34</v>
      </c>
      <c r="D134" t="s">
        <v>99</v>
      </c>
      <c r="E134" t="s">
        <v>11</v>
      </c>
      <c r="F134" t="s">
        <v>54</v>
      </c>
      <c r="G134">
        <v>8.6</v>
      </c>
    </row>
    <row r="135" spans="1:7" x14ac:dyDescent="0.35">
      <c r="A135" t="s">
        <v>24</v>
      </c>
      <c r="B135" t="s">
        <v>25</v>
      </c>
      <c r="C135" t="s">
        <v>15</v>
      </c>
      <c r="D135" t="s">
        <v>98</v>
      </c>
      <c r="E135" t="s">
        <v>17</v>
      </c>
      <c r="G135">
        <v>0</v>
      </c>
    </row>
    <row r="136" spans="1:7" x14ac:dyDescent="0.35">
      <c r="A136" t="s">
        <v>27</v>
      </c>
      <c r="B136" t="s">
        <v>28</v>
      </c>
      <c r="C136" t="s">
        <v>29</v>
      </c>
      <c r="D136" t="s">
        <v>98</v>
      </c>
      <c r="E136" t="s">
        <v>22</v>
      </c>
      <c r="F136" t="s">
        <v>83</v>
      </c>
      <c r="G136">
        <v>7.4</v>
      </c>
    </row>
    <row r="137" spans="1:7" x14ac:dyDescent="0.35">
      <c r="A137" t="s">
        <v>30</v>
      </c>
      <c r="B137" t="s">
        <v>31</v>
      </c>
      <c r="C137" t="s">
        <v>44</v>
      </c>
      <c r="D137" t="s">
        <v>98</v>
      </c>
      <c r="E137" t="s">
        <v>11</v>
      </c>
      <c r="F137" t="s">
        <v>54</v>
      </c>
      <c r="G137">
        <v>8.4</v>
      </c>
    </row>
    <row r="138" spans="1:7" x14ac:dyDescent="0.35">
      <c r="A138" t="s">
        <v>32</v>
      </c>
      <c r="B138" t="s">
        <v>33</v>
      </c>
      <c r="C138" t="s">
        <v>34</v>
      </c>
      <c r="D138" t="s">
        <v>98</v>
      </c>
      <c r="E138" t="s">
        <v>11</v>
      </c>
      <c r="F138" t="s">
        <v>47</v>
      </c>
      <c r="G138">
        <v>7.6</v>
      </c>
    </row>
    <row r="139" spans="1:7" x14ac:dyDescent="0.35">
      <c r="A139" t="s">
        <v>37</v>
      </c>
      <c r="B139" t="s">
        <v>38</v>
      </c>
      <c r="C139" t="s">
        <v>53</v>
      </c>
      <c r="D139" t="s">
        <v>100</v>
      </c>
      <c r="E139" t="s">
        <v>11</v>
      </c>
      <c r="F139" t="s">
        <v>54</v>
      </c>
      <c r="G139">
        <v>8.9</v>
      </c>
    </row>
    <row r="140" spans="1:7" x14ac:dyDescent="0.35">
      <c r="A140" t="s">
        <v>40</v>
      </c>
      <c r="B140" t="s">
        <v>41</v>
      </c>
      <c r="C140" t="s">
        <v>26</v>
      </c>
      <c r="D140" t="s">
        <v>98</v>
      </c>
      <c r="E140" t="s">
        <v>11</v>
      </c>
      <c r="F140" t="s">
        <v>12</v>
      </c>
      <c r="G140">
        <v>7.9</v>
      </c>
    </row>
    <row r="141" spans="1:7" x14ac:dyDescent="0.35">
      <c r="A141" t="s">
        <v>42</v>
      </c>
      <c r="B141" t="s">
        <v>43</v>
      </c>
      <c r="C141" t="s">
        <v>9</v>
      </c>
      <c r="D141" t="s">
        <v>98</v>
      </c>
      <c r="E141" t="s">
        <v>22</v>
      </c>
      <c r="F141" t="s">
        <v>71</v>
      </c>
      <c r="G141">
        <v>6.3</v>
      </c>
    </row>
    <row r="142" spans="1:7" x14ac:dyDescent="0.35">
      <c r="A142" t="s">
        <v>7</v>
      </c>
      <c r="B142" t="s">
        <v>8</v>
      </c>
      <c r="C142" t="s">
        <v>9</v>
      </c>
      <c r="D142" t="s">
        <v>101</v>
      </c>
      <c r="E142" t="s">
        <v>22</v>
      </c>
      <c r="F142" t="s">
        <v>79</v>
      </c>
      <c r="G142">
        <v>6.2</v>
      </c>
    </row>
    <row r="143" spans="1:7" x14ac:dyDescent="0.35">
      <c r="A143" t="s">
        <v>13</v>
      </c>
      <c r="B143" t="s">
        <v>14</v>
      </c>
      <c r="C143" t="s">
        <v>26</v>
      </c>
      <c r="D143" t="s">
        <v>101</v>
      </c>
      <c r="E143" t="s">
        <v>11</v>
      </c>
      <c r="F143" t="s">
        <v>49</v>
      </c>
      <c r="G143">
        <v>8.5</v>
      </c>
    </row>
    <row r="144" spans="1:7" x14ac:dyDescent="0.35">
      <c r="A144" t="s">
        <v>19</v>
      </c>
      <c r="B144" t="s">
        <v>20</v>
      </c>
      <c r="C144" t="s">
        <v>21</v>
      </c>
      <c r="D144" t="s">
        <v>102</v>
      </c>
      <c r="E144" t="s">
        <v>11</v>
      </c>
      <c r="F144" t="s">
        <v>39</v>
      </c>
      <c r="G144">
        <v>8.6</v>
      </c>
    </row>
    <row r="145" spans="1:7" x14ac:dyDescent="0.35">
      <c r="A145" t="s">
        <v>24</v>
      </c>
      <c r="B145" t="s">
        <v>25</v>
      </c>
      <c r="C145" t="s">
        <v>26</v>
      </c>
      <c r="D145" t="s">
        <v>102</v>
      </c>
      <c r="E145" t="s">
        <v>22</v>
      </c>
      <c r="F145" t="s">
        <v>36</v>
      </c>
      <c r="G145">
        <v>7.3</v>
      </c>
    </row>
    <row r="146" spans="1:7" x14ac:dyDescent="0.35">
      <c r="A146" t="s">
        <v>27</v>
      </c>
      <c r="B146" t="s">
        <v>28</v>
      </c>
      <c r="C146" t="s">
        <v>53</v>
      </c>
      <c r="D146" t="s">
        <v>102</v>
      </c>
      <c r="E146" t="s">
        <v>17</v>
      </c>
    </row>
    <row r="147" spans="1:7" x14ac:dyDescent="0.35">
      <c r="A147" t="s">
        <v>30</v>
      </c>
      <c r="B147" t="s">
        <v>31</v>
      </c>
      <c r="C147" t="s">
        <v>55</v>
      </c>
      <c r="D147" t="s">
        <v>102</v>
      </c>
      <c r="E147" t="s">
        <v>11</v>
      </c>
      <c r="F147" t="s">
        <v>12</v>
      </c>
      <c r="G147">
        <v>7.9</v>
      </c>
    </row>
    <row r="148" spans="1:7" x14ac:dyDescent="0.35">
      <c r="A148" t="s">
        <v>32</v>
      </c>
      <c r="B148" t="s">
        <v>33</v>
      </c>
      <c r="C148" t="s">
        <v>59</v>
      </c>
      <c r="D148" t="s">
        <v>101</v>
      </c>
      <c r="E148" t="s">
        <v>11</v>
      </c>
      <c r="F148" t="s">
        <v>39</v>
      </c>
      <c r="G148">
        <v>8.8000000000000007</v>
      </c>
    </row>
    <row r="149" spans="1:7" x14ac:dyDescent="0.35">
      <c r="A149" t="s">
        <v>37</v>
      </c>
      <c r="B149" t="s">
        <v>38</v>
      </c>
      <c r="C149" t="s">
        <v>53</v>
      </c>
      <c r="D149" t="s">
        <v>102</v>
      </c>
      <c r="E149" t="s">
        <v>22</v>
      </c>
      <c r="F149" t="s">
        <v>50</v>
      </c>
      <c r="G149">
        <v>6.2</v>
      </c>
    </row>
    <row r="150" spans="1:7" x14ac:dyDescent="0.35">
      <c r="A150" t="s">
        <v>40</v>
      </c>
      <c r="B150" t="s">
        <v>41</v>
      </c>
      <c r="C150" t="s">
        <v>64</v>
      </c>
      <c r="D150" t="s">
        <v>103</v>
      </c>
      <c r="E150" t="s">
        <v>11</v>
      </c>
      <c r="F150" t="s">
        <v>54</v>
      </c>
      <c r="G150">
        <v>8.6999999999999993</v>
      </c>
    </row>
    <row r="151" spans="1:7" x14ac:dyDescent="0.35">
      <c r="A151" t="s">
        <v>42</v>
      </c>
      <c r="B151" t="s">
        <v>43</v>
      </c>
      <c r="C151" t="s">
        <v>9</v>
      </c>
      <c r="D151" t="s">
        <v>103</v>
      </c>
      <c r="E151" t="s">
        <v>11</v>
      </c>
      <c r="F151" t="s">
        <v>54</v>
      </c>
      <c r="G151">
        <v>7.7</v>
      </c>
    </row>
    <row r="152" spans="1:7" x14ac:dyDescent="0.35">
      <c r="A152" t="s">
        <v>40</v>
      </c>
      <c r="B152" t="s">
        <v>41</v>
      </c>
      <c r="C152" t="s">
        <v>26</v>
      </c>
      <c r="D152" t="s">
        <v>72</v>
      </c>
      <c r="E152" t="s">
        <v>11</v>
      </c>
      <c r="F152" t="s">
        <v>47</v>
      </c>
      <c r="G152">
        <v>7.6</v>
      </c>
    </row>
    <row r="153" spans="1:7" x14ac:dyDescent="0.35">
      <c r="A153" t="s">
        <v>7</v>
      </c>
      <c r="B153" t="s">
        <v>8</v>
      </c>
      <c r="C153" t="s">
        <v>9</v>
      </c>
      <c r="D153" t="s">
        <v>65</v>
      </c>
      <c r="E153" t="s">
        <v>17</v>
      </c>
      <c r="G153">
        <v>0</v>
      </c>
    </row>
    <row r="154" spans="1:7" x14ac:dyDescent="0.35">
      <c r="A154" t="s">
        <v>37</v>
      </c>
      <c r="B154" t="s">
        <v>38</v>
      </c>
      <c r="C154" t="s">
        <v>51</v>
      </c>
      <c r="D154" t="s">
        <v>78</v>
      </c>
      <c r="E154" t="s">
        <v>11</v>
      </c>
      <c r="F154" t="s">
        <v>12</v>
      </c>
      <c r="G154">
        <v>7.8</v>
      </c>
    </row>
    <row r="155" spans="1:7" x14ac:dyDescent="0.35">
      <c r="A155" t="s">
        <v>42</v>
      </c>
      <c r="B155" t="s">
        <v>43</v>
      </c>
      <c r="C155" t="s">
        <v>44</v>
      </c>
      <c r="D155" t="s">
        <v>73</v>
      </c>
      <c r="E155" t="s">
        <v>22</v>
      </c>
      <c r="F155" t="s">
        <v>71</v>
      </c>
      <c r="G155">
        <v>7.3</v>
      </c>
    </row>
    <row r="156" spans="1:7" x14ac:dyDescent="0.35">
      <c r="A156" t="s">
        <v>30</v>
      </c>
      <c r="B156" t="s">
        <v>31</v>
      </c>
      <c r="C156" t="s">
        <v>9</v>
      </c>
      <c r="D156" t="s">
        <v>16</v>
      </c>
      <c r="E156" t="s">
        <v>11</v>
      </c>
      <c r="F156" t="s">
        <v>12</v>
      </c>
      <c r="G156">
        <v>7.8</v>
      </c>
    </row>
    <row r="157" spans="1:7" x14ac:dyDescent="0.35">
      <c r="A157" t="s">
        <v>104</v>
      </c>
      <c r="C157" t="s">
        <v>59</v>
      </c>
      <c r="D157" t="s">
        <v>66</v>
      </c>
      <c r="E157" t="s">
        <v>11</v>
      </c>
      <c r="F157" t="s">
        <v>12</v>
      </c>
      <c r="G157">
        <v>8</v>
      </c>
    </row>
    <row r="158" spans="1:7" x14ac:dyDescent="0.35">
      <c r="A158" t="s">
        <v>105</v>
      </c>
      <c r="B158" t="s">
        <v>18</v>
      </c>
      <c r="C158" t="s">
        <v>9</v>
      </c>
      <c r="D158" t="s">
        <v>65</v>
      </c>
      <c r="E158" t="s">
        <v>22</v>
      </c>
      <c r="F158" t="s">
        <v>106</v>
      </c>
      <c r="G158">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D177-E62D-4087-8AC6-94029D61FD19}">
  <dimension ref="A1:H158"/>
  <sheetViews>
    <sheetView showGridLines="0" zoomScaleNormal="100" workbookViewId="0">
      <selection activeCell="H7" sqref="H7"/>
    </sheetView>
  </sheetViews>
  <sheetFormatPr defaultRowHeight="14.5" x14ac:dyDescent="0.35"/>
  <cols>
    <col min="1" max="1" width="13.81640625" customWidth="1"/>
    <col min="2" max="2" width="17.6328125" customWidth="1"/>
    <col min="3" max="3" width="15.90625" bestFit="1" customWidth="1"/>
    <col min="4" max="4" width="13.36328125" customWidth="1"/>
    <col min="5" max="5" width="10.90625" customWidth="1"/>
    <col min="6" max="6" width="14.81640625" customWidth="1"/>
    <col min="7" max="7" width="14.1796875" customWidth="1"/>
    <col min="8" max="8" width="21.6328125" customWidth="1"/>
  </cols>
  <sheetData>
    <row r="1" spans="1:8" x14ac:dyDescent="0.35">
      <c r="A1" s="3" t="s">
        <v>0</v>
      </c>
      <c r="B1" s="4" t="s">
        <v>1</v>
      </c>
      <c r="C1" s="4" t="s">
        <v>2</v>
      </c>
      <c r="D1" s="4" t="s">
        <v>3</v>
      </c>
      <c r="E1" s="4" t="s">
        <v>4</v>
      </c>
      <c r="F1" s="4" t="s">
        <v>5</v>
      </c>
      <c r="G1" s="5" t="s">
        <v>6</v>
      </c>
    </row>
    <row r="2" spans="1:8" x14ac:dyDescent="0.35">
      <c r="A2" s="6" t="s">
        <v>7</v>
      </c>
      <c r="B2" s="7" t="s">
        <v>8</v>
      </c>
      <c r="C2" s="7" t="s">
        <v>9</v>
      </c>
      <c r="D2" s="8">
        <v>46054</v>
      </c>
      <c r="E2" s="7" t="s">
        <v>11</v>
      </c>
      <c r="F2" s="9">
        <v>0.34027777777777779</v>
      </c>
      <c r="G2" s="10">
        <v>8.8000000000000007</v>
      </c>
      <c r="H2" s="2"/>
    </row>
    <row r="3" spans="1:8" x14ac:dyDescent="0.35">
      <c r="A3" s="6" t="s">
        <v>13</v>
      </c>
      <c r="B3" s="7" t="s">
        <v>14</v>
      </c>
      <c r="C3" s="7" t="s">
        <v>64</v>
      </c>
      <c r="D3" s="8">
        <v>46054</v>
      </c>
      <c r="E3" s="7" t="s">
        <v>17</v>
      </c>
      <c r="F3" s="11">
        <v>0</v>
      </c>
      <c r="G3" s="10">
        <v>0</v>
      </c>
      <c r="H3" s="2"/>
    </row>
    <row r="4" spans="1:8" x14ac:dyDescent="0.35">
      <c r="A4" s="6" t="s">
        <v>19</v>
      </c>
      <c r="B4" s="7" t="s">
        <v>20</v>
      </c>
      <c r="C4" s="7" t="s">
        <v>59</v>
      </c>
      <c r="D4" s="8">
        <v>46054</v>
      </c>
      <c r="E4" s="7" t="s">
        <v>22</v>
      </c>
      <c r="F4" s="9">
        <v>0.44444444444444442</v>
      </c>
      <c r="G4" s="10">
        <v>6.8</v>
      </c>
      <c r="H4" s="2"/>
    </row>
    <row r="5" spans="1:8" x14ac:dyDescent="0.35">
      <c r="A5" s="6" t="s">
        <v>24</v>
      </c>
      <c r="B5" s="7" t="s">
        <v>25</v>
      </c>
      <c r="C5" s="7" t="s">
        <v>64</v>
      </c>
      <c r="D5" s="8">
        <v>46054</v>
      </c>
      <c r="E5" s="7" t="s">
        <v>17</v>
      </c>
      <c r="F5" s="11">
        <v>0</v>
      </c>
      <c r="G5" s="10">
        <v>0</v>
      </c>
      <c r="H5" s="2"/>
    </row>
    <row r="6" spans="1:8" x14ac:dyDescent="0.35">
      <c r="A6" s="6" t="s">
        <v>27</v>
      </c>
      <c r="B6" s="7" t="s">
        <v>28</v>
      </c>
      <c r="C6" s="7" t="s">
        <v>29</v>
      </c>
      <c r="D6" s="8">
        <v>46054</v>
      </c>
      <c r="E6" s="7" t="s">
        <v>11</v>
      </c>
      <c r="F6" s="9">
        <v>0.34027777777777779</v>
      </c>
      <c r="G6" s="10">
        <v>8.1999999999999993</v>
      </c>
      <c r="H6" s="2"/>
    </row>
    <row r="7" spans="1:8" x14ac:dyDescent="0.35">
      <c r="A7" s="6" t="s">
        <v>30</v>
      </c>
      <c r="B7" s="7" t="s">
        <v>31</v>
      </c>
      <c r="C7" s="7" t="s">
        <v>9</v>
      </c>
      <c r="D7" s="8">
        <v>46054</v>
      </c>
      <c r="E7" s="7" t="s">
        <v>11</v>
      </c>
      <c r="F7" s="9">
        <v>0.34027777777777779</v>
      </c>
      <c r="G7" s="10">
        <v>7.8</v>
      </c>
      <c r="H7" s="2"/>
    </row>
    <row r="8" spans="1:8" x14ac:dyDescent="0.35">
      <c r="A8" s="6" t="s">
        <v>32</v>
      </c>
      <c r="B8" s="7" t="s">
        <v>33</v>
      </c>
      <c r="C8" s="7" t="s">
        <v>59</v>
      </c>
      <c r="D8" s="8">
        <v>46054</v>
      </c>
      <c r="E8" s="7" t="s">
        <v>22</v>
      </c>
      <c r="F8" s="9">
        <v>0.43055555555555558</v>
      </c>
      <c r="G8" s="10">
        <v>7.2</v>
      </c>
      <c r="H8" s="2"/>
    </row>
    <row r="9" spans="1:8" x14ac:dyDescent="0.35">
      <c r="A9" s="6" t="s">
        <v>37</v>
      </c>
      <c r="B9" s="7" t="s">
        <v>38</v>
      </c>
      <c r="C9" s="7" t="s">
        <v>29</v>
      </c>
      <c r="D9" s="8">
        <v>46054</v>
      </c>
      <c r="E9" s="7" t="s">
        <v>11</v>
      </c>
      <c r="F9" s="9">
        <v>0.33680555555555558</v>
      </c>
      <c r="G9" s="10">
        <v>7.8</v>
      </c>
      <c r="H9" s="2"/>
    </row>
    <row r="10" spans="1:8" x14ac:dyDescent="0.35">
      <c r="A10" s="6" t="s">
        <v>40</v>
      </c>
      <c r="B10" s="7" t="s">
        <v>41</v>
      </c>
      <c r="C10" s="7" t="s">
        <v>64</v>
      </c>
      <c r="D10" s="8">
        <v>46054</v>
      </c>
      <c r="E10" s="7" t="s">
        <v>11</v>
      </c>
      <c r="F10" s="9">
        <v>0.33680555555555558</v>
      </c>
      <c r="G10" s="10">
        <v>8.9</v>
      </c>
      <c r="H10" s="2"/>
    </row>
    <row r="11" spans="1:8" x14ac:dyDescent="0.35">
      <c r="A11" s="6" t="s">
        <v>42</v>
      </c>
      <c r="B11" s="7" t="s">
        <v>43</v>
      </c>
      <c r="C11" s="7" t="s">
        <v>9</v>
      </c>
      <c r="D11" s="8">
        <v>46054</v>
      </c>
      <c r="E11" s="7" t="s">
        <v>22</v>
      </c>
      <c r="F11" s="9">
        <v>0.38541666666666669</v>
      </c>
      <c r="G11" s="10">
        <v>7.3</v>
      </c>
      <c r="H11" s="2"/>
    </row>
    <row r="12" spans="1:8" x14ac:dyDescent="0.35">
      <c r="A12" s="6" t="s">
        <v>7</v>
      </c>
      <c r="B12" s="7" t="s">
        <v>8</v>
      </c>
      <c r="C12" s="7" t="s">
        <v>9</v>
      </c>
      <c r="D12" s="8">
        <v>46055</v>
      </c>
      <c r="E12" s="7" t="s">
        <v>11</v>
      </c>
      <c r="F12" s="9">
        <v>0.33333333333333331</v>
      </c>
      <c r="G12" s="10">
        <v>7.9</v>
      </c>
      <c r="H12" s="2"/>
    </row>
    <row r="13" spans="1:8" x14ac:dyDescent="0.35">
      <c r="A13" s="6" t="s">
        <v>13</v>
      </c>
      <c r="B13" s="7" t="s">
        <v>14</v>
      </c>
      <c r="C13" s="7" t="s">
        <v>64</v>
      </c>
      <c r="D13" s="8">
        <v>46055</v>
      </c>
      <c r="E13" s="7" t="s">
        <v>11</v>
      </c>
      <c r="F13" s="9">
        <v>0.33333333333333331</v>
      </c>
      <c r="G13" s="10">
        <v>8.8000000000000007</v>
      </c>
      <c r="H13" s="2"/>
    </row>
    <row r="14" spans="1:8" x14ac:dyDescent="0.35">
      <c r="A14" s="6" t="s">
        <v>19</v>
      </c>
      <c r="B14" s="7" t="s">
        <v>20</v>
      </c>
      <c r="C14" s="7" t="s">
        <v>59</v>
      </c>
      <c r="D14" s="8">
        <v>46055</v>
      </c>
      <c r="E14" s="7" t="s">
        <v>11</v>
      </c>
      <c r="F14" s="9">
        <v>0.34722222222222221</v>
      </c>
      <c r="G14" s="10">
        <v>8.1</v>
      </c>
      <c r="H14" s="2"/>
    </row>
    <row r="15" spans="1:8" x14ac:dyDescent="0.35">
      <c r="A15" s="6" t="s">
        <v>24</v>
      </c>
      <c r="B15" s="7" t="s">
        <v>25</v>
      </c>
      <c r="C15" s="7" t="s">
        <v>64</v>
      </c>
      <c r="D15" s="8">
        <v>46055</v>
      </c>
      <c r="E15" s="7" t="s">
        <v>22</v>
      </c>
      <c r="F15" s="9">
        <v>0.38194444444444442</v>
      </c>
      <c r="G15" s="10">
        <v>7.2</v>
      </c>
      <c r="H15" s="2"/>
    </row>
    <row r="16" spans="1:8" x14ac:dyDescent="0.35">
      <c r="A16" s="6" t="s">
        <v>27</v>
      </c>
      <c r="B16" s="7" t="s">
        <v>28</v>
      </c>
      <c r="C16" s="7" t="s">
        <v>29</v>
      </c>
      <c r="D16" s="8">
        <v>46055</v>
      </c>
      <c r="E16" s="7" t="s">
        <v>17</v>
      </c>
      <c r="F16" s="9">
        <v>0</v>
      </c>
      <c r="G16" s="10">
        <v>0</v>
      </c>
      <c r="H16" s="2"/>
    </row>
    <row r="17" spans="1:8" x14ac:dyDescent="0.35">
      <c r="A17" s="6" t="s">
        <v>30</v>
      </c>
      <c r="B17" s="7" t="s">
        <v>31</v>
      </c>
      <c r="C17" s="7" t="s">
        <v>9</v>
      </c>
      <c r="D17" s="8">
        <v>46055</v>
      </c>
      <c r="E17" s="7" t="s">
        <v>11</v>
      </c>
      <c r="F17" s="9">
        <v>0.34027777777777779</v>
      </c>
      <c r="G17" s="10">
        <v>7.7</v>
      </c>
      <c r="H17" s="2"/>
    </row>
    <row r="18" spans="1:8" x14ac:dyDescent="0.35">
      <c r="A18" s="6" t="s">
        <v>32</v>
      </c>
      <c r="B18" s="7" t="s">
        <v>33</v>
      </c>
      <c r="C18" s="7" t="s">
        <v>59</v>
      </c>
      <c r="D18" s="8">
        <v>46055</v>
      </c>
      <c r="E18" s="7" t="s">
        <v>17</v>
      </c>
      <c r="F18" s="9">
        <v>0</v>
      </c>
      <c r="G18" s="10">
        <v>0</v>
      </c>
      <c r="H18" s="2"/>
    </row>
    <row r="19" spans="1:8" x14ac:dyDescent="0.35">
      <c r="A19" s="6" t="s">
        <v>37</v>
      </c>
      <c r="B19" s="7" t="s">
        <v>38</v>
      </c>
      <c r="C19" s="7" t="s">
        <v>29</v>
      </c>
      <c r="D19" s="8">
        <v>46055</v>
      </c>
      <c r="E19" s="7" t="s">
        <v>11</v>
      </c>
      <c r="F19" s="9">
        <v>0.34375</v>
      </c>
      <c r="G19" s="10">
        <v>7.8</v>
      </c>
      <c r="H19" s="2"/>
    </row>
    <row r="20" spans="1:8" x14ac:dyDescent="0.35">
      <c r="A20" s="6" t="s">
        <v>40</v>
      </c>
      <c r="B20" s="7" t="s">
        <v>41</v>
      </c>
      <c r="C20" s="7" t="s">
        <v>64</v>
      </c>
      <c r="D20" s="8">
        <v>46055</v>
      </c>
      <c r="E20" s="7" t="s">
        <v>11</v>
      </c>
      <c r="F20" s="9">
        <v>0.33333333333333331</v>
      </c>
      <c r="G20" s="10">
        <v>8.1</v>
      </c>
      <c r="H20" s="2"/>
    </row>
    <row r="21" spans="1:8" x14ac:dyDescent="0.35">
      <c r="A21" s="6" t="s">
        <v>42</v>
      </c>
      <c r="B21" s="7" t="s">
        <v>43</v>
      </c>
      <c r="C21" s="7" t="s">
        <v>9</v>
      </c>
      <c r="D21" s="8">
        <v>46055</v>
      </c>
      <c r="E21" s="7" t="s">
        <v>11</v>
      </c>
      <c r="F21" s="9">
        <v>0.34375</v>
      </c>
      <c r="G21" s="10">
        <v>7.6</v>
      </c>
      <c r="H21" s="2"/>
    </row>
    <row r="22" spans="1:8" x14ac:dyDescent="0.35">
      <c r="A22" s="6" t="s">
        <v>7</v>
      </c>
      <c r="B22" s="7" t="s">
        <v>8</v>
      </c>
      <c r="C22" s="7" t="s">
        <v>9</v>
      </c>
      <c r="D22" s="8">
        <v>46056</v>
      </c>
      <c r="E22" s="7" t="s">
        <v>22</v>
      </c>
      <c r="F22" s="9">
        <v>0.37847222222222221</v>
      </c>
      <c r="G22" s="10">
        <v>7.5</v>
      </c>
      <c r="H22" s="2"/>
    </row>
    <row r="23" spans="1:8" x14ac:dyDescent="0.35">
      <c r="A23" s="6" t="s">
        <v>13</v>
      </c>
      <c r="B23" s="7" t="s">
        <v>14</v>
      </c>
      <c r="C23" s="7" t="s">
        <v>64</v>
      </c>
      <c r="D23" s="8">
        <v>46056</v>
      </c>
      <c r="E23" s="7" t="s">
        <v>11</v>
      </c>
      <c r="F23" s="9">
        <v>0.33680555555555558</v>
      </c>
      <c r="G23" s="10">
        <v>7.9</v>
      </c>
      <c r="H23" s="2"/>
    </row>
    <row r="24" spans="1:8" x14ac:dyDescent="0.35">
      <c r="A24" s="6" t="s">
        <v>19</v>
      </c>
      <c r="B24" s="7" t="s">
        <v>20</v>
      </c>
      <c r="C24" s="7" t="s">
        <v>59</v>
      </c>
      <c r="D24" s="8">
        <v>46056</v>
      </c>
      <c r="E24" s="7" t="s">
        <v>22</v>
      </c>
      <c r="F24" s="9">
        <v>0.44444444444444442</v>
      </c>
      <c r="G24" s="10">
        <v>6.2</v>
      </c>
      <c r="H24" s="2"/>
    </row>
    <row r="25" spans="1:8" x14ac:dyDescent="0.35">
      <c r="A25" s="6" t="s">
        <v>24</v>
      </c>
      <c r="B25" s="7" t="s">
        <v>25</v>
      </c>
      <c r="C25" s="7" t="s">
        <v>64</v>
      </c>
      <c r="D25" s="8">
        <v>46056</v>
      </c>
      <c r="E25" s="7" t="s">
        <v>17</v>
      </c>
      <c r="F25" s="9">
        <v>0</v>
      </c>
      <c r="G25" s="10">
        <v>0</v>
      </c>
      <c r="H25" s="2"/>
    </row>
    <row r="26" spans="1:8" x14ac:dyDescent="0.35">
      <c r="A26" s="6" t="s">
        <v>27</v>
      </c>
      <c r="B26" s="7" t="s">
        <v>28</v>
      </c>
      <c r="C26" s="7" t="s">
        <v>29</v>
      </c>
      <c r="D26" s="8">
        <v>46056</v>
      </c>
      <c r="E26" s="7" t="s">
        <v>11</v>
      </c>
      <c r="F26" s="9">
        <v>0.33333333333333331</v>
      </c>
      <c r="G26" s="10">
        <v>8</v>
      </c>
      <c r="H26" s="2"/>
    </row>
    <row r="27" spans="1:8" x14ac:dyDescent="0.35">
      <c r="A27" s="6" t="s">
        <v>30</v>
      </c>
      <c r="B27" s="7" t="s">
        <v>31</v>
      </c>
      <c r="C27" s="7" t="s">
        <v>9</v>
      </c>
      <c r="D27" s="8">
        <v>46056</v>
      </c>
      <c r="E27" s="7" t="s">
        <v>11</v>
      </c>
      <c r="F27" s="9">
        <v>0.33680555555555558</v>
      </c>
      <c r="G27" s="10">
        <v>7.9</v>
      </c>
      <c r="H27" s="2"/>
    </row>
    <row r="28" spans="1:8" x14ac:dyDescent="0.35">
      <c r="A28" s="6" t="s">
        <v>32</v>
      </c>
      <c r="B28" s="7" t="s">
        <v>33</v>
      </c>
      <c r="C28" s="7" t="s">
        <v>59</v>
      </c>
      <c r="D28" s="8">
        <v>46056</v>
      </c>
      <c r="E28" s="7" t="s">
        <v>11</v>
      </c>
      <c r="F28" s="9">
        <v>0.34027777777777779</v>
      </c>
      <c r="G28" s="10">
        <v>7.7</v>
      </c>
      <c r="H28" s="2"/>
    </row>
    <row r="29" spans="1:8" x14ac:dyDescent="0.35">
      <c r="A29" s="6" t="s">
        <v>37</v>
      </c>
      <c r="B29" s="7" t="s">
        <v>38</v>
      </c>
      <c r="C29" s="7" t="s">
        <v>29</v>
      </c>
      <c r="D29" s="8">
        <v>46056</v>
      </c>
      <c r="E29" s="7" t="s">
        <v>11</v>
      </c>
      <c r="F29" s="9">
        <v>0.34027777777777779</v>
      </c>
      <c r="G29" s="10">
        <v>7.9</v>
      </c>
      <c r="H29" s="2"/>
    </row>
    <row r="30" spans="1:8" x14ac:dyDescent="0.35">
      <c r="A30" s="6" t="s">
        <v>40</v>
      </c>
      <c r="B30" s="7" t="s">
        <v>41</v>
      </c>
      <c r="C30" s="7" t="s">
        <v>64</v>
      </c>
      <c r="D30" s="8">
        <v>46056</v>
      </c>
      <c r="E30" s="7" t="s">
        <v>11</v>
      </c>
      <c r="F30" s="9">
        <v>0.34375</v>
      </c>
      <c r="G30" s="10">
        <v>8.4</v>
      </c>
      <c r="H30" s="2"/>
    </row>
    <row r="31" spans="1:8" x14ac:dyDescent="0.35">
      <c r="A31" s="6" t="s">
        <v>42</v>
      </c>
      <c r="B31" s="7" t="s">
        <v>43</v>
      </c>
      <c r="C31" s="7" t="s">
        <v>9</v>
      </c>
      <c r="D31" s="8">
        <v>46056</v>
      </c>
      <c r="E31" s="7" t="s">
        <v>11</v>
      </c>
      <c r="F31" s="9">
        <v>0.34027777777777779</v>
      </c>
      <c r="G31" s="10">
        <v>8</v>
      </c>
      <c r="H31" s="2"/>
    </row>
    <row r="32" spans="1:8" x14ac:dyDescent="0.35">
      <c r="A32" s="6" t="s">
        <v>7</v>
      </c>
      <c r="B32" s="7" t="s">
        <v>8</v>
      </c>
      <c r="C32" s="7" t="s">
        <v>9</v>
      </c>
      <c r="D32" s="8">
        <v>46057</v>
      </c>
      <c r="E32" s="7" t="s">
        <v>11</v>
      </c>
      <c r="F32" s="9">
        <v>0.34027777777777779</v>
      </c>
      <c r="G32" s="10">
        <v>7.8</v>
      </c>
      <c r="H32" s="2"/>
    </row>
    <row r="33" spans="1:8" x14ac:dyDescent="0.35">
      <c r="A33" s="6" t="s">
        <v>13</v>
      </c>
      <c r="B33" s="7" t="s">
        <v>14</v>
      </c>
      <c r="C33" s="7" t="s">
        <v>64</v>
      </c>
      <c r="D33" s="8">
        <v>46057</v>
      </c>
      <c r="E33" s="7" t="s">
        <v>11</v>
      </c>
      <c r="F33" s="9">
        <v>0.33680555555555558</v>
      </c>
      <c r="G33" s="10">
        <v>9</v>
      </c>
      <c r="H33" s="2"/>
    </row>
    <row r="34" spans="1:8" x14ac:dyDescent="0.35">
      <c r="A34" s="6" t="s">
        <v>19</v>
      </c>
      <c r="B34" s="7" t="s">
        <v>20</v>
      </c>
      <c r="C34" s="7" t="s">
        <v>59</v>
      </c>
      <c r="D34" s="8">
        <v>46057</v>
      </c>
      <c r="E34" s="7" t="s">
        <v>11</v>
      </c>
      <c r="F34" s="9">
        <v>0.34375</v>
      </c>
      <c r="G34" s="10">
        <v>8</v>
      </c>
      <c r="H34" s="2"/>
    </row>
    <row r="35" spans="1:8" x14ac:dyDescent="0.35">
      <c r="A35" s="6" t="s">
        <v>24</v>
      </c>
      <c r="B35" s="7" t="s">
        <v>25</v>
      </c>
      <c r="C35" s="7" t="s">
        <v>64</v>
      </c>
      <c r="D35" s="8">
        <v>46057</v>
      </c>
      <c r="E35" s="7" t="s">
        <v>17</v>
      </c>
      <c r="F35" s="9">
        <v>0</v>
      </c>
      <c r="G35" s="10">
        <v>0</v>
      </c>
      <c r="H35" s="2"/>
    </row>
    <row r="36" spans="1:8" x14ac:dyDescent="0.35">
      <c r="A36" s="6" t="s">
        <v>27</v>
      </c>
      <c r="B36" s="7" t="s">
        <v>28</v>
      </c>
      <c r="C36" s="7" t="s">
        <v>29</v>
      </c>
      <c r="D36" s="8">
        <v>46057</v>
      </c>
      <c r="E36" s="7" t="s">
        <v>11</v>
      </c>
      <c r="F36" s="9">
        <v>0.34722222222222221</v>
      </c>
      <c r="G36" s="10">
        <v>8.1999999999999993</v>
      </c>
      <c r="H36" s="2"/>
    </row>
    <row r="37" spans="1:8" x14ac:dyDescent="0.35">
      <c r="A37" s="6" t="s">
        <v>30</v>
      </c>
      <c r="B37" s="7" t="s">
        <v>31</v>
      </c>
      <c r="C37" s="7" t="s">
        <v>9</v>
      </c>
      <c r="D37" s="8">
        <v>46057</v>
      </c>
      <c r="E37" s="7" t="s">
        <v>11</v>
      </c>
      <c r="F37" s="9">
        <v>0.34027777777777779</v>
      </c>
      <c r="G37" s="10">
        <v>8</v>
      </c>
      <c r="H37" s="2"/>
    </row>
    <row r="38" spans="1:8" x14ac:dyDescent="0.35">
      <c r="A38" s="6" t="s">
        <v>32</v>
      </c>
      <c r="B38" s="7" t="s">
        <v>33</v>
      </c>
      <c r="C38" s="7" t="s">
        <v>59</v>
      </c>
      <c r="D38" s="8">
        <v>46057</v>
      </c>
      <c r="E38" s="7" t="s">
        <v>17</v>
      </c>
      <c r="F38" s="9">
        <v>0</v>
      </c>
      <c r="G38" s="10">
        <v>0</v>
      </c>
      <c r="H38" s="2"/>
    </row>
    <row r="39" spans="1:8" x14ac:dyDescent="0.35">
      <c r="A39" s="6" t="s">
        <v>37</v>
      </c>
      <c r="B39" s="7" t="s">
        <v>38</v>
      </c>
      <c r="C39" s="7" t="s">
        <v>29</v>
      </c>
      <c r="D39" s="8">
        <v>46057</v>
      </c>
      <c r="E39" s="7" t="s">
        <v>17</v>
      </c>
      <c r="F39" s="9">
        <v>0</v>
      </c>
      <c r="G39" s="10">
        <v>0</v>
      </c>
      <c r="H39" s="2"/>
    </row>
    <row r="40" spans="1:8" x14ac:dyDescent="0.35">
      <c r="A40" s="6" t="s">
        <v>40</v>
      </c>
      <c r="B40" s="7" t="s">
        <v>41</v>
      </c>
      <c r="C40" s="7" t="s">
        <v>64</v>
      </c>
      <c r="D40" s="8">
        <v>46057</v>
      </c>
      <c r="E40" s="7" t="s">
        <v>11</v>
      </c>
      <c r="F40" s="9">
        <v>0.34027777777777779</v>
      </c>
      <c r="G40" s="12">
        <v>8.6999999999999993</v>
      </c>
      <c r="H40" s="2"/>
    </row>
    <row r="41" spans="1:8" x14ac:dyDescent="0.35">
      <c r="A41" s="6" t="s">
        <v>42</v>
      </c>
      <c r="B41" s="7" t="s">
        <v>43</v>
      </c>
      <c r="C41" s="7" t="s">
        <v>9</v>
      </c>
      <c r="D41" s="8">
        <v>46057</v>
      </c>
      <c r="E41" s="7" t="s">
        <v>11</v>
      </c>
      <c r="F41" s="9">
        <v>0.34722222222222221</v>
      </c>
      <c r="G41" s="12">
        <v>8.8000000000000007</v>
      </c>
      <c r="H41" s="2"/>
    </row>
    <row r="42" spans="1:8" x14ac:dyDescent="0.35">
      <c r="A42" s="6" t="s">
        <v>7</v>
      </c>
      <c r="B42" s="7" t="s">
        <v>8</v>
      </c>
      <c r="C42" s="7" t="s">
        <v>9</v>
      </c>
      <c r="D42" s="8">
        <v>46058</v>
      </c>
      <c r="E42" s="7" t="s">
        <v>17</v>
      </c>
      <c r="F42" s="9">
        <v>0</v>
      </c>
      <c r="G42" s="12">
        <v>0</v>
      </c>
      <c r="H42" s="2"/>
    </row>
    <row r="43" spans="1:8" x14ac:dyDescent="0.35">
      <c r="A43" s="6" t="s">
        <v>13</v>
      </c>
      <c r="B43" s="7" t="s">
        <v>14</v>
      </c>
      <c r="C43" s="7" t="s">
        <v>64</v>
      </c>
      <c r="D43" s="8">
        <v>46058</v>
      </c>
      <c r="E43" s="7" t="s">
        <v>17</v>
      </c>
      <c r="F43" s="9">
        <v>0</v>
      </c>
      <c r="G43" s="12">
        <v>0</v>
      </c>
      <c r="H43" s="2"/>
    </row>
    <row r="44" spans="1:8" x14ac:dyDescent="0.35">
      <c r="A44" s="6" t="s">
        <v>19</v>
      </c>
      <c r="B44" s="7" t="s">
        <v>20</v>
      </c>
      <c r="C44" s="7" t="s">
        <v>59</v>
      </c>
      <c r="D44" s="8">
        <v>46058</v>
      </c>
      <c r="E44" s="7" t="s">
        <v>11</v>
      </c>
      <c r="F44" s="9">
        <v>0.34722222222222221</v>
      </c>
      <c r="G44" s="12">
        <v>7.7</v>
      </c>
      <c r="H44" s="2"/>
    </row>
    <row r="45" spans="1:8" x14ac:dyDescent="0.35">
      <c r="A45" s="6" t="s">
        <v>24</v>
      </c>
      <c r="B45" s="7" t="s">
        <v>25</v>
      </c>
      <c r="C45" s="7" t="s">
        <v>64</v>
      </c>
      <c r="D45" s="8">
        <v>46058</v>
      </c>
      <c r="E45" s="7" t="s">
        <v>17</v>
      </c>
      <c r="F45" s="9">
        <v>0</v>
      </c>
      <c r="G45" s="12">
        <v>0</v>
      </c>
      <c r="H45" s="2"/>
    </row>
    <row r="46" spans="1:8" x14ac:dyDescent="0.35">
      <c r="A46" s="6" t="s">
        <v>27</v>
      </c>
      <c r="B46" s="7" t="s">
        <v>28</v>
      </c>
      <c r="C46" s="7" t="s">
        <v>29</v>
      </c>
      <c r="D46" s="8">
        <v>46058</v>
      </c>
      <c r="E46" s="7" t="s">
        <v>11</v>
      </c>
      <c r="F46" s="9">
        <v>0.33333333333333331</v>
      </c>
      <c r="G46" s="12">
        <v>8.8000000000000007</v>
      </c>
      <c r="H46" s="2"/>
    </row>
    <row r="47" spans="1:8" x14ac:dyDescent="0.35">
      <c r="A47" s="6" t="s">
        <v>30</v>
      </c>
      <c r="B47" s="7" t="s">
        <v>31</v>
      </c>
      <c r="C47" s="7" t="s">
        <v>9</v>
      </c>
      <c r="D47" s="8">
        <v>46058</v>
      </c>
      <c r="E47" s="7" t="s">
        <v>11</v>
      </c>
      <c r="F47" s="9">
        <v>0.33333333333333331</v>
      </c>
      <c r="G47" s="12">
        <v>7.9</v>
      </c>
      <c r="H47" s="2"/>
    </row>
    <row r="48" spans="1:8" x14ac:dyDescent="0.35">
      <c r="A48" s="6" t="s">
        <v>32</v>
      </c>
      <c r="B48" s="7" t="s">
        <v>33</v>
      </c>
      <c r="C48" s="7" t="s">
        <v>59</v>
      </c>
      <c r="D48" s="8">
        <v>46058</v>
      </c>
      <c r="E48" s="7" t="s">
        <v>11</v>
      </c>
      <c r="F48" s="9">
        <v>0.33680555555555558</v>
      </c>
      <c r="G48" s="12">
        <v>8.1</v>
      </c>
      <c r="H48" s="2"/>
    </row>
    <row r="49" spans="1:8" x14ac:dyDescent="0.35">
      <c r="A49" s="6" t="s">
        <v>37</v>
      </c>
      <c r="B49" s="7" t="s">
        <v>38</v>
      </c>
      <c r="C49" s="7" t="s">
        <v>29</v>
      </c>
      <c r="D49" s="8">
        <v>46058</v>
      </c>
      <c r="E49" s="7" t="s">
        <v>11</v>
      </c>
      <c r="F49" s="9">
        <v>0.33680555555555558</v>
      </c>
      <c r="G49" s="12">
        <v>9</v>
      </c>
      <c r="H49" s="2"/>
    </row>
    <row r="50" spans="1:8" x14ac:dyDescent="0.35">
      <c r="A50" s="6" t="s">
        <v>40</v>
      </c>
      <c r="B50" s="7" t="s">
        <v>41</v>
      </c>
      <c r="C50" s="7" t="s">
        <v>64</v>
      </c>
      <c r="D50" s="8">
        <v>46058</v>
      </c>
      <c r="E50" s="7" t="s">
        <v>22</v>
      </c>
      <c r="F50" s="9">
        <v>0.3888888888888889</v>
      </c>
      <c r="G50" s="12">
        <v>6.1</v>
      </c>
      <c r="H50" s="2"/>
    </row>
    <row r="51" spans="1:8" x14ac:dyDescent="0.35">
      <c r="A51" s="6" t="s">
        <v>42</v>
      </c>
      <c r="B51" s="7" t="s">
        <v>43</v>
      </c>
      <c r="C51" s="7" t="s">
        <v>9</v>
      </c>
      <c r="D51" s="8">
        <v>46058</v>
      </c>
      <c r="E51" s="7" t="s">
        <v>11</v>
      </c>
      <c r="F51" s="9">
        <v>0.34027777777777779</v>
      </c>
      <c r="G51" s="12">
        <v>8.6999999999999993</v>
      </c>
      <c r="H51" s="2"/>
    </row>
    <row r="52" spans="1:8" x14ac:dyDescent="0.35">
      <c r="A52" s="6" t="s">
        <v>7</v>
      </c>
      <c r="B52" s="7" t="s">
        <v>8</v>
      </c>
      <c r="C52" s="7" t="s">
        <v>9</v>
      </c>
      <c r="D52" s="8">
        <v>46059</v>
      </c>
      <c r="E52" s="7" t="s">
        <v>11</v>
      </c>
      <c r="F52" s="9">
        <v>0.34375</v>
      </c>
      <c r="G52" s="12">
        <v>8.5</v>
      </c>
      <c r="H52" s="2"/>
    </row>
    <row r="53" spans="1:8" x14ac:dyDescent="0.35">
      <c r="A53" s="6" t="s">
        <v>13</v>
      </c>
      <c r="B53" s="7" t="s">
        <v>14</v>
      </c>
      <c r="C53" s="7" t="s">
        <v>64</v>
      </c>
      <c r="D53" s="8">
        <v>46059</v>
      </c>
      <c r="E53" s="7" t="s">
        <v>11</v>
      </c>
      <c r="F53" s="9">
        <v>0.33333333333333331</v>
      </c>
      <c r="G53" s="12">
        <v>8.4</v>
      </c>
      <c r="H53" s="2"/>
    </row>
    <row r="54" spans="1:8" x14ac:dyDescent="0.35">
      <c r="A54" s="6" t="s">
        <v>19</v>
      </c>
      <c r="B54" s="7" t="s">
        <v>20</v>
      </c>
      <c r="C54" s="7" t="s">
        <v>59</v>
      </c>
      <c r="D54" s="8">
        <v>46059</v>
      </c>
      <c r="E54" s="7" t="s">
        <v>11</v>
      </c>
      <c r="F54" s="9">
        <v>0.34722222222222221</v>
      </c>
      <c r="G54" s="12">
        <v>8</v>
      </c>
      <c r="H54" s="2"/>
    </row>
    <row r="55" spans="1:8" x14ac:dyDescent="0.35">
      <c r="A55" s="6" t="s">
        <v>24</v>
      </c>
      <c r="B55" s="7" t="s">
        <v>25</v>
      </c>
      <c r="C55" s="7" t="s">
        <v>64</v>
      </c>
      <c r="D55" s="8">
        <v>46059</v>
      </c>
      <c r="E55" s="7" t="s">
        <v>17</v>
      </c>
      <c r="F55" s="9">
        <v>0</v>
      </c>
      <c r="G55" s="12">
        <v>0</v>
      </c>
      <c r="H55" s="2"/>
    </row>
    <row r="56" spans="1:8" x14ac:dyDescent="0.35">
      <c r="A56" s="6" t="s">
        <v>27</v>
      </c>
      <c r="B56" s="7" t="s">
        <v>28</v>
      </c>
      <c r="C56" s="7" t="s">
        <v>29</v>
      </c>
      <c r="D56" s="8">
        <v>46059</v>
      </c>
      <c r="E56" s="7" t="s">
        <v>22</v>
      </c>
      <c r="F56" s="9">
        <v>0.39583333333333331</v>
      </c>
      <c r="G56" s="12">
        <v>6.6</v>
      </c>
      <c r="H56" s="2"/>
    </row>
    <row r="57" spans="1:8" x14ac:dyDescent="0.35">
      <c r="A57" s="6" t="s">
        <v>30</v>
      </c>
      <c r="B57" s="7" t="s">
        <v>31</v>
      </c>
      <c r="C57" s="7" t="s">
        <v>9</v>
      </c>
      <c r="D57" s="8">
        <v>46059</v>
      </c>
      <c r="E57" s="7" t="s">
        <v>11</v>
      </c>
      <c r="F57" s="9">
        <v>0.33333333333333331</v>
      </c>
      <c r="G57" s="12">
        <v>8.6999999999999993</v>
      </c>
      <c r="H57" s="2"/>
    </row>
    <row r="58" spans="1:8" x14ac:dyDescent="0.35">
      <c r="A58" s="6" t="s">
        <v>32</v>
      </c>
      <c r="B58" s="7" t="s">
        <v>33</v>
      </c>
      <c r="C58" s="7" t="s">
        <v>59</v>
      </c>
      <c r="D58" s="8">
        <v>46059</v>
      </c>
      <c r="E58" s="7" t="s">
        <v>11</v>
      </c>
      <c r="F58" s="9">
        <v>0.34375</v>
      </c>
      <c r="G58" s="12">
        <v>8.1999999999999993</v>
      </c>
      <c r="H58" s="2"/>
    </row>
    <row r="59" spans="1:8" x14ac:dyDescent="0.35">
      <c r="A59" s="6" t="s">
        <v>37</v>
      </c>
      <c r="B59" s="7" t="s">
        <v>38</v>
      </c>
      <c r="C59" s="7" t="s">
        <v>29</v>
      </c>
      <c r="D59" s="8">
        <v>46059</v>
      </c>
      <c r="E59" s="7" t="s">
        <v>11</v>
      </c>
      <c r="F59" s="9">
        <v>0.34722222222222221</v>
      </c>
      <c r="G59" s="12">
        <v>8.1999999999999993</v>
      </c>
      <c r="H59" s="2"/>
    </row>
    <row r="60" spans="1:8" x14ac:dyDescent="0.35">
      <c r="A60" s="6" t="s">
        <v>40</v>
      </c>
      <c r="B60" s="7" t="s">
        <v>41</v>
      </c>
      <c r="C60" s="7" t="s">
        <v>64</v>
      </c>
      <c r="D60" s="8">
        <v>46059</v>
      </c>
      <c r="E60" s="7" t="s">
        <v>11</v>
      </c>
      <c r="F60" s="9">
        <v>0.33333333333333331</v>
      </c>
      <c r="G60" s="12">
        <v>7.6</v>
      </c>
      <c r="H60" s="2"/>
    </row>
    <row r="61" spans="1:8" x14ac:dyDescent="0.35">
      <c r="A61" s="6" t="s">
        <v>42</v>
      </c>
      <c r="B61" s="7" t="s">
        <v>43</v>
      </c>
      <c r="C61" s="7" t="s">
        <v>9</v>
      </c>
      <c r="D61" s="8">
        <v>46059</v>
      </c>
      <c r="E61" s="7" t="s">
        <v>11</v>
      </c>
      <c r="F61" s="9">
        <v>0.34375</v>
      </c>
      <c r="G61" s="12">
        <v>8.6999999999999993</v>
      </c>
      <c r="H61" s="2"/>
    </row>
    <row r="62" spans="1:8" x14ac:dyDescent="0.35">
      <c r="A62" s="6" t="s">
        <v>7</v>
      </c>
      <c r="B62" s="7" t="s">
        <v>8</v>
      </c>
      <c r="C62" s="7" t="s">
        <v>9</v>
      </c>
      <c r="D62" s="8">
        <v>46060</v>
      </c>
      <c r="E62" s="7" t="s">
        <v>17</v>
      </c>
      <c r="F62" s="9">
        <v>0</v>
      </c>
      <c r="G62" s="12">
        <v>0</v>
      </c>
      <c r="H62" s="2"/>
    </row>
    <row r="63" spans="1:8" x14ac:dyDescent="0.35">
      <c r="A63" s="6" t="s">
        <v>13</v>
      </c>
      <c r="B63" s="7" t="s">
        <v>14</v>
      </c>
      <c r="C63" s="7" t="s">
        <v>64</v>
      </c>
      <c r="D63" s="8">
        <v>46060</v>
      </c>
      <c r="E63" s="7" t="s">
        <v>11</v>
      </c>
      <c r="F63" s="9">
        <v>0.34722222222222221</v>
      </c>
      <c r="G63" s="12">
        <v>8.6999999999999993</v>
      </c>
      <c r="H63" s="2"/>
    </row>
    <row r="64" spans="1:8" x14ac:dyDescent="0.35">
      <c r="A64" s="6" t="s">
        <v>19</v>
      </c>
      <c r="B64" s="7" t="s">
        <v>20</v>
      </c>
      <c r="C64" s="7" t="s">
        <v>59</v>
      </c>
      <c r="D64" s="8">
        <v>46060</v>
      </c>
      <c r="E64" s="7" t="s">
        <v>11</v>
      </c>
      <c r="F64" s="9">
        <v>0.34722222222222221</v>
      </c>
      <c r="G64" s="12">
        <v>8.1</v>
      </c>
      <c r="H64" s="2"/>
    </row>
    <row r="65" spans="1:8" x14ac:dyDescent="0.35">
      <c r="A65" s="6" t="s">
        <v>24</v>
      </c>
      <c r="B65" s="7" t="s">
        <v>25</v>
      </c>
      <c r="C65" s="7" t="s">
        <v>64</v>
      </c>
      <c r="D65" s="8">
        <v>46060</v>
      </c>
      <c r="E65" s="7" t="s">
        <v>22</v>
      </c>
      <c r="F65" s="9">
        <v>0.3888888888888889</v>
      </c>
      <c r="G65" s="12">
        <v>7</v>
      </c>
      <c r="H65" s="2"/>
    </row>
    <row r="66" spans="1:8" x14ac:dyDescent="0.35">
      <c r="A66" s="6" t="s">
        <v>27</v>
      </c>
      <c r="B66" s="7" t="s">
        <v>28</v>
      </c>
      <c r="C66" s="7" t="s">
        <v>29</v>
      </c>
      <c r="D66" s="8">
        <v>46060</v>
      </c>
      <c r="E66" s="7" t="s">
        <v>11</v>
      </c>
      <c r="F66" s="9">
        <v>0.34375</v>
      </c>
      <c r="G66" s="12">
        <v>7.5</v>
      </c>
      <c r="H66" s="2"/>
    </row>
    <row r="67" spans="1:8" x14ac:dyDescent="0.35">
      <c r="A67" s="6" t="s">
        <v>30</v>
      </c>
      <c r="B67" s="7" t="s">
        <v>31</v>
      </c>
      <c r="C67" s="7" t="s">
        <v>9</v>
      </c>
      <c r="D67" s="8">
        <v>46060</v>
      </c>
      <c r="E67" s="7" t="s">
        <v>11</v>
      </c>
      <c r="F67" s="9">
        <v>0.34027777777777779</v>
      </c>
      <c r="G67" s="12">
        <v>8.3000000000000007</v>
      </c>
      <c r="H67" s="2"/>
    </row>
    <row r="68" spans="1:8" x14ac:dyDescent="0.35">
      <c r="A68" s="6" t="s">
        <v>32</v>
      </c>
      <c r="B68" s="7" t="s">
        <v>33</v>
      </c>
      <c r="C68" s="7" t="s">
        <v>59</v>
      </c>
      <c r="D68" s="8">
        <v>46060</v>
      </c>
      <c r="E68" s="7" t="s">
        <v>11</v>
      </c>
      <c r="F68" s="9">
        <v>0.34375</v>
      </c>
      <c r="G68" s="12">
        <v>8</v>
      </c>
      <c r="H68" s="2"/>
    </row>
    <row r="69" spans="1:8" x14ac:dyDescent="0.35">
      <c r="A69" s="6" t="s">
        <v>37</v>
      </c>
      <c r="B69" s="7" t="s">
        <v>38</v>
      </c>
      <c r="C69" s="7" t="s">
        <v>29</v>
      </c>
      <c r="D69" s="8">
        <v>46060</v>
      </c>
      <c r="E69" s="7" t="s">
        <v>11</v>
      </c>
      <c r="F69" s="9">
        <v>0.34722222222222221</v>
      </c>
      <c r="G69" s="12">
        <v>8.1</v>
      </c>
      <c r="H69" s="2"/>
    </row>
    <row r="70" spans="1:8" x14ac:dyDescent="0.35">
      <c r="A70" s="6" t="s">
        <v>40</v>
      </c>
      <c r="B70" s="7" t="s">
        <v>41</v>
      </c>
      <c r="C70" s="7" t="s">
        <v>64</v>
      </c>
      <c r="D70" s="8">
        <v>46060</v>
      </c>
      <c r="E70" s="7" t="s">
        <v>11</v>
      </c>
      <c r="F70" s="9">
        <v>0.33680555555555558</v>
      </c>
      <c r="G70" s="12">
        <v>8.1</v>
      </c>
      <c r="H70" s="2"/>
    </row>
    <row r="71" spans="1:8" x14ac:dyDescent="0.35">
      <c r="A71" s="6" t="s">
        <v>42</v>
      </c>
      <c r="B71" s="7" t="s">
        <v>43</v>
      </c>
      <c r="C71" s="7" t="s">
        <v>9</v>
      </c>
      <c r="D71" s="8">
        <v>46060</v>
      </c>
      <c r="E71" s="7" t="s">
        <v>22</v>
      </c>
      <c r="F71" s="9">
        <v>0.39583333333333331</v>
      </c>
      <c r="G71" s="12">
        <v>7.3</v>
      </c>
      <c r="H71" s="2"/>
    </row>
    <row r="72" spans="1:8" x14ac:dyDescent="0.35">
      <c r="A72" s="6" t="s">
        <v>7</v>
      </c>
      <c r="B72" s="7" t="s">
        <v>8</v>
      </c>
      <c r="C72" s="7" t="s">
        <v>9</v>
      </c>
      <c r="D72" s="8">
        <v>46061</v>
      </c>
      <c r="E72" s="7" t="s">
        <v>11</v>
      </c>
      <c r="F72" s="9">
        <v>0.33333333333333331</v>
      </c>
      <c r="G72" s="12">
        <v>8</v>
      </c>
      <c r="H72" s="2"/>
    </row>
    <row r="73" spans="1:8" x14ac:dyDescent="0.35">
      <c r="A73" s="6" t="s">
        <v>13</v>
      </c>
      <c r="B73" s="7" t="s">
        <v>14</v>
      </c>
      <c r="C73" s="7" t="s">
        <v>64</v>
      </c>
      <c r="D73" s="8">
        <v>46061</v>
      </c>
      <c r="E73" s="7" t="s">
        <v>11</v>
      </c>
      <c r="F73" s="9">
        <v>0.34027777777777779</v>
      </c>
      <c r="G73" s="12">
        <v>7.6</v>
      </c>
      <c r="H73" s="2"/>
    </row>
    <row r="74" spans="1:8" x14ac:dyDescent="0.35">
      <c r="A74" s="6" t="s">
        <v>19</v>
      </c>
      <c r="B74" s="7" t="s">
        <v>20</v>
      </c>
      <c r="C74" s="7" t="s">
        <v>59</v>
      </c>
      <c r="D74" s="8">
        <v>46061</v>
      </c>
      <c r="E74" s="7" t="s">
        <v>11</v>
      </c>
      <c r="F74" s="9">
        <v>0.34722222222222221</v>
      </c>
      <c r="G74" s="12">
        <v>8.6999999999999993</v>
      </c>
      <c r="H74" s="2"/>
    </row>
    <row r="75" spans="1:8" x14ac:dyDescent="0.35">
      <c r="A75" s="6" t="s">
        <v>24</v>
      </c>
      <c r="B75" s="7" t="s">
        <v>25</v>
      </c>
      <c r="C75" s="7" t="s">
        <v>64</v>
      </c>
      <c r="D75" s="8">
        <v>46061</v>
      </c>
      <c r="E75" s="7" t="s">
        <v>11</v>
      </c>
      <c r="F75" s="9">
        <v>0.33333333333333331</v>
      </c>
      <c r="G75" s="12">
        <v>8</v>
      </c>
      <c r="H75" s="2"/>
    </row>
    <row r="76" spans="1:8" x14ac:dyDescent="0.35">
      <c r="A76" s="6" t="s">
        <v>27</v>
      </c>
      <c r="B76" s="7" t="s">
        <v>28</v>
      </c>
      <c r="C76" s="7" t="s">
        <v>29</v>
      </c>
      <c r="D76" s="8">
        <v>46061</v>
      </c>
      <c r="E76" s="7" t="s">
        <v>11</v>
      </c>
      <c r="F76" s="9">
        <v>0.33333333333333331</v>
      </c>
      <c r="G76" s="12">
        <v>8.1</v>
      </c>
      <c r="H76" s="2"/>
    </row>
    <row r="77" spans="1:8" x14ac:dyDescent="0.35">
      <c r="A77" s="6" t="s">
        <v>30</v>
      </c>
      <c r="B77" s="7" t="s">
        <v>31</v>
      </c>
      <c r="C77" s="7" t="s">
        <v>9</v>
      </c>
      <c r="D77" s="8">
        <v>46061</v>
      </c>
      <c r="E77" s="7" t="s">
        <v>22</v>
      </c>
      <c r="F77" s="9">
        <v>0.44444444444444442</v>
      </c>
      <c r="G77" s="12">
        <v>6.4</v>
      </c>
      <c r="H77" s="2"/>
    </row>
    <row r="78" spans="1:8" x14ac:dyDescent="0.35">
      <c r="A78" s="6" t="s">
        <v>32</v>
      </c>
      <c r="B78" s="7" t="s">
        <v>33</v>
      </c>
      <c r="C78" s="7" t="s">
        <v>59</v>
      </c>
      <c r="D78" s="8">
        <v>46061</v>
      </c>
      <c r="E78" s="7" t="s">
        <v>11</v>
      </c>
      <c r="F78" s="9">
        <v>0.34027777777777779</v>
      </c>
      <c r="G78" s="12">
        <v>8.9</v>
      </c>
      <c r="H78" s="2"/>
    </row>
    <row r="79" spans="1:8" x14ac:dyDescent="0.35">
      <c r="A79" s="6" t="s">
        <v>37</v>
      </c>
      <c r="B79" s="7" t="s">
        <v>38</v>
      </c>
      <c r="C79" s="7" t="s">
        <v>29</v>
      </c>
      <c r="D79" s="8">
        <v>46061</v>
      </c>
      <c r="E79" s="7" t="s">
        <v>11</v>
      </c>
      <c r="F79" s="9">
        <v>0.34027777777777779</v>
      </c>
      <c r="G79" s="12">
        <v>7.8</v>
      </c>
      <c r="H79" s="2"/>
    </row>
    <row r="80" spans="1:8" x14ac:dyDescent="0.35">
      <c r="A80" s="6" t="s">
        <v>40</v>
      </c>
      <c r="B80" s="7" t="s">
        <v>41</v>
      </c>
      <c r="C80" s="7" t="s">
        <v>64</v>
      </c>
      <c r="D80" s="8">
        <v>46061</v>
      </c>
      <c r="E80" s="7" t="s">
        <v>22</v>
      </c>
      <c r="F80" s="9">
        <v>0.4236111111111111</v>
      </c>
      <c r="G80" s="12">
        <v>6.4</v>
      </c>
      <c r="H80" s="2"/>
    </row>
    <row r="81" spans="1:8" x14ac:dyDescent="0.35">
      <c r="A81" s="6" t="s">
        <v>42</v>
      </c>
      <c r="B81" s="7" t="s">
        <v>43</v>
      </c>
      <c r="C81" s="7" t="s">
        <v>9</v>
      </c>
      <c r="D81" s="8">
        <v>46061</v>
      </c>
      <c r="E81" s="7" t="s">
        <v>22</v>
      </c>
      <c r="F81" s="9">
        <v>0.38194444444444442</v>
      </c>
      <c r="G81" s="12">
        <v>7.3</v>
      </c>
      <c r="H81" s="2"/>
    </row>
    <row r="82" spans="1:8" x14ac:dyDescent="0.35">
      <c r="A82" s="6" t="s">
        <v>7</v>
      </c>
      <c r="B82" s="7" t="s">
        <v>8</v>
      </c>
      <c r="C82" s="7" t="s">
        <v>9</v>
      </c>
      <c r="D82" s="8">
        <v>46062</v>
      </c>
      <c r="E82" s="7" t="s">
        <v>22</v>
      </c>
      <c r="F82" s="9">
        <v>0.44444444444444442</v>
      </c>
      <c r="G82" s="12">
        <v>6.7</v>
      </c>
      <c r="H82" s="2"/>
    </row>
    <row r="83" spans="1:8" x14ac:dyDescent="0.35">
      <c r="A83" s="6" t="s">
        <v>13</v>
      </c>
      <c r="B83" s="7" t="s">
        <v>14</v>
      </c>
      <c r="C83" s="7" t="s">
        <v>64</v>
      </c>
      <c r="D83" s="8">
        <v>46062</v>
      </c>
      <c r="E83" s="7" t="s">
        <v>11</v>
      </c>
      <c r="F83" s="9">
        <v>0.34375</v>
      </c>
      <c r="G83" s="12">
        <v>8.6999999999999993</v>
      </c>
      <c r="H83" s="2"/>
    </row>
    <row r="84" spans="1:8" x14ac:dyDescent="0.35">
      <c r="A84" s="6" t="s">
        <v>19</v>
      </c>
      <c r="B84" s="7" t="s">
        <v>20</v>
      </c>
      <c r="C84" s="7" t="s">
        <v>59</v>
      </c>
      <c r="D84" s="8">
        <v>46062</v>
      </c>
      <c r="E84" s="7" t="s">
        <v>11</v>
      </c>
      <c r="F84" s="9">
        <v>0.34027777777777779</v>
      </c>
      <c r="G84" s="12">
        <v>8.9</v>
      </c>
      <c r="H84" s="2"/>
    </row>
    <row r="85" spans="1:8" x14ac:dyDescent="0.35">
      <c r="A85" s="6" t="s">
        <v>24</v>
      </c>
      <c r="B85" s="7" t="s">
        <v>25</v>
      </c>
      <c r="C85" s="7" t="s">
        <v>64</v>
      </c>
      <c r="D85" s="8">
        <v>46062</v>
      </c>
      <c r="E85" s="7" t="s">
        <v>11</v>
      </c>
      <c r="F85" s="9">
        <v>0.33680555555555558</v>
      </c>
      <c r="G85" s="12">
        <v>7.5</v>
      </c>
      <c r="H85" s="2"/>
    </row>
    <row r="86" spans="1:8" x14ac:dyDescent="0.35">
      <c r="A86" s="6" t="s">
        <v>27</v>
      </c>
      <c r="B86" s="7" t="s">
        <v>28</v>
      </c>
      <c r="C86" s="7" t="s">
        <v>29</v>
      </c>
      <c r="D86" s="8">
        <v>46062</v>
      </c>
      <c r="E86" s="7" t="s">
        <v>11</v>
      </c>
      <c r="F86" s="9">
        <v>0.34722222222222221</v>
      </c>
      <c r="G86" s="12">
        <v>8.6999999999999993</v>
      </c>
      <c r="H86" s="2"/>
    </row>
    <row r="87" spans="1:8" x14ac:dyDescent="0.35">
      <c r="A87" s="6" t="s">
        <v>30</v>
      </c>
      <c r="B87" s="7" t="s">
        <v>31</v>
      </c>
      <c r="C87" s="7" t="s">
        <v>9</v>
      </c>
      <c r="D87" s="8">
        <v>46062</v>
      </c>
      <c r="E87" s="7" t="s">
        <v>11</v>
      </c>
      <c r="F87" s="9">
        <v>0.34375</v>
      </c>
      <c r="G87" s="12">
        <v>7.9</v>
      </c>
      <c r="H87" s="2"/>
    </row>
    <row r="88" spans="1:8" x14ac:dyDescent="0.35">
      <c r="A88" s="6" t="s">
        <v>32</v>
      </c>
      <c r="B88" s="7" t="s">
        <v>33</v>
      </c>
      <c r="C88" s="7" t="s">
        <v>59</v>
      </c>
      <c r="D88" s="8">
        <v>46062</v>
      </c>
      <c r="E88" s="7" t="s">
        <v>22</v>
      </c>
      <c r="F88" s="9">
        <v>0.38194444444444442</v>
      </c>
      <c r="G88" s="12">
        <v>6.4</v>
      </c>
      <c r="H88" s="2"/>
    </row>
    <row r="89" spans="1:8" x14ac:dyDescent="0.35">
      <c r="A89" s="6" t="s">
        <v>37</v>
      </c>
      <c r="B89" s="7" t="s">
        <v>38</v>
      </c>
      <c r="C89" s="7" t="s">
        <v>29</v>
      </c>
      <c r="D89" s="8">
        <v>46062</v>
      </c>
      <c r="E89" s="7" t="s">
        <v>22</v>
      </c>
      <c r="F89" s="9">
        <v>0.4201388888888889</v>
      </c>
      <c r="G89" s="12">
        <v>6</v>
      </c>
      <c r="H89" s="2"/>
    </row>
    <row r="90" spans="1:8" x14ac:dyDescent="0.35">
      <c r="A90" s="6" t="s">
        <v>40</v>
      </c>
      <c r="B90" s="7" t="s">
        <v>41</v>
      </c>
      <c r="C90" s="7" t="s">
        <v>64</v>
      </c>
      <c r="D90" s="8">
        <v>46062</v>
      </c>
      <c r="E90" s="7" t="s">
        <v>22</v>
      </c>
      <c r="F90" s="9">
        <v>0.42708333333333331</v>
      </c>
      <c r="G90" s="12">
        <v>7.1</v>
      </c>
      <c r="H90" s="2"/>
    </row>
    <row r="91" spans="1:8" x14ac:dyDescent="0.35">
      <c r="A91" s="6" t="s">
        <v>42</v>
      </c>
      <c r="B91" s="7" t="s">
        <v>43</v>
      </c>
      <c r="C91" s="7" t="s">
        <v>9</v>
      </c>
      <c r="D91" s="8">
        <v>46062</v>
      </c>
      <c r="E91" s="7" t="s">
        <v>11</v>
      </c>
      <c r="F91" s="9">
        <v>0.34027777777777779</v>
      </c>
      <c r="G91" s="12">
        <v>8.1999999999999993</v>
      </c>
      <c r="H91" s="2"/>
    </row>
    <row r="92" spans="1:8" x14ac:dyDescent="0.35">
      <c r="A92" s="6" t="s">
        <v>7</v>
      </c>
      <c r="B92" s="7" t="s">
        <v>8</v>
      </c>
      <c r="C92" s="7" t="s">
        <v>9</v>
      </c>
      <c r="D92" s="8">
        <v>46063</v>
      </c>
      <c r="E92" s="7" t="s">
        <v>11</v>
      </c>
      <c r="F92" s="9">
        <v>0.34375</v>
      </c>
      <c r="G92" s="12">
        <v>8.8000000000000007</v>
      </c>
      <c r="H92" s="2"/>
    </row>
    <row r="93" spans="1:8" x14ac:dyDescent="0.35">
      <c r="A93" s="6" t="s">
        <v>13</v>
      </c>
      <c r="B93" s="7" t="s">
        <v>14</v>
      </c>
      <c r="C93" s="7" t="s">
        <v>64</v>
      </c>
      <c r="D93" s="8">
        <v>46063</v>
      </c>
      <c r="E93" s="7" t="s">
        <v>11</v>
      </c>
      <c r="F93" s="13">
        <v>8.0500000000000007</v>
      </c>
      <c r="G93" s="12">
        <v>8.8000000000000007</v>
      </c>
      <c r="H93" s="2"/>
    </row>
    <row r="94" spans="1:8" x14ac:dyDescent="0.35">
      <c r="A94" s="6" t="s">
        <v>19</v>
      </c>
      <c r="B94" s="7" t="s">
        <v>20</v>
      </c>
      <c r="C94" s="7" t="s">
        <v>59</v>
      </c>
      <c r="D94" s="8">
        <v>46063</v>
      </c>
      <c r="E94" s="7" t="s">
        <v>22</v>
      </c>
      <c r="F94" s="9">
        <v>0.3888888888888889</v>
      </c>
      <c r="G94" s="12">
        <v>7.5</v>
      </c>
      <c r="H94" s="2"/>
    </row>
    <row r="95" spans="1:8" x14ac:dyDescent="0.35">
      <c r="A95" s="6" t="s">
        <v>24</v>
      </c>
      <c r="B95" s="7" t="s">
        <v>25</v>
      </c>
      <c r="C95" s="7" t="s">
        <v>64</v>
      </c>
      <c r="D95" s="8">
        <v>46063</v>
      </c>
      <c r="E95" s="7" t="s">
        <v>11</v>
      </c>
      <c r="F95" s="9">
        <v>0.34722222222222221</v>
      </c>
      <c r="G95" s="12">
        <v>8.5</v>
      </c>
      <c r="H95" s="2"/>
    </row>
    <row r="96" spans="1:8" x14ac:dyDescent="0.35">
      <c r="A96" s="6" t="s">
        <v>27</v>
      </c>
      <c r="B96" s="7" t="s">
        <v>28</v>
      </c>
      <c r="C96" s="7" t="s">
        <v>29</v>
      </c>
      <c r="D96" s="8">
        <v>46063</v>
      </c>
      <c r="E96" s="7" t="s">
        <v>11</v>
      </c>
      <c r="F96" s="9">
        <v>0.34027777777777779</v>
      </c>
      <c r="G96" s="12">
        <v>8.3000000000000007</v>
      </c>
      <c r="H96" s="2"/>
    </row>
    <row r="97" spans="1:8" x14ac:dyDescent="0.35">
      <c r="A97" s="6" t="s">
        <v>30</v>
      </c>
      <c r="B97" s="7" t="s">
        <v>31</v>
      </c>
      <c r="C97" s="7" t="s">
        <v>9</v>
      </c>
      <c r="D97" s="8">
        <v>46063</v>
      </c>
      <c r="E97" s="7" t="s">
        <v>11</v>
      </c>
      <c r="F97" s="9">
        <v>0.34722222222222221</v>
      </c>
      <c r="G97" s="12">
        <v>8.5</v>
      </c>
      <c r="H97" s="2"/>
    </row>
    <row r="98" spans="1:8" x14ac:dyDescent="0.35">
      <c r="A98" s="6" t="s">
        <v>32</v>
      </c>
      <c r="B98" s="7" t="s">
        <v>33</v>
      </c>
      <c r="C98" s="7" t="s">
        <v>59</v>
      </c>
      <c r="D98" s="8">
        <v>46063</v>
      </c>
      <c r="E98" s="7" t="s">
        <v>11</v>
      </c>
      <c r="F98" s="9">
        <v>0.33680555555555558</v>
      </c>
      <c r="G98" s="12">
        <v>7.6</v>
      </c>
      <c r="H98" s="2"/>
    </row>
    <row r="99" spans="1:8" x14ac:dyDescent="0.35">
      <c r="A99" s="6" t="s">
        <v>37</v>
      </c>
      <c r="B99" s="7" t="s">
        <v>38</v>
      </c>
      <c r="C99" s="7" t="s">
        <v>29</v>
      </c>
      <c r="D99" s="8">
        <v>46063</v>
      </c>
      <c r="E99" s="7" t="s">
        <v>11</v>
      </c>
      <c r="F99" s="9">
        <v>0.34375</v>
      </c>
      <c r="G99" s="12">
        <v>9</v>
      </c>
      <c r="H99" s="2"/>
    </row>
    <row r="100" spans="1:8" x14ac:dyDescent="0.35">
      <c r="A100" s="6" t="s">
        <v>40</v>
      </c>
      <c r="B100" s="7" t="s">
        <v>41</v>
      </c>
      <c r="C100" s="7" t="s">
        <v>64</v>
      </c>
      <c r="D100" s="8">
        <v>46063</v>
      </c>
      <c r="E100" s="7" t="s">
        <v>11</v>
      </c>
      <c r="F100" s="9">
        <v>0.33680555555555558</v>
      </c>
      <c r="G100" s="12">
        <v>8.9</v>
      </c>
      <c r="H100" s="2"/>
    </row>
    <row r="101" spans="1:8" x14ac:dyDescent="0.35">
      <c r="A101" s="6" t="s">
        <v>42</v>
      </c>
      <c r="B101" s="7" t="s">
        <v>43</v>
      </c>
      <c r="C101" s="7" t="s">
        <v>9</v>
      </c>
      <c r="D101" s="8">
        <v>46063</v>
      </c>
      <c r="E101" s="7" t="s">
        <v>11</v>
      </c>
      <c r="F101" s="9">
        <v>0.34722222222222221</v>
      </c>
      <c r="G101" s="12">
        <v>8.8000000000000007</v>
      </c>
      <c r="H101" s="2"/>
    </row>
    <row r="102" spans="1:8" x14ac:dyDescent="0.35">
      <c r="A102" s="6" t="s">
        <v>7</v>
      </c>
      <c r="B102" s="7" t="s">
        <v>8</v>
      </c>
      <c r="C102" s="7" t="s">
        <v>9</v>
      </c>
      <c r="D102" s="8">
        <v>46064</v>
      </c>
      <c r="E102" s="7" t="s">
        <v>11</v>
      </c>
      <c r="F102" s="9">
        <v>0.34375</v>
      </c>
      <c r="G102" s="12">
        <v>8.9</v>
      </c>
      <c r="H102" s="2"/>
    </row>
    <row r="103" spans="1:8" x14ac:dyDescent="0.35">
      <c r="A103" s="6" t="s">
        <v>13</v>
      </c>
      <c r="B103" s="7" t="s">
        <v>14</v>
      </c>
      <c r="C103" s="7" t="s">
        <v>64</v>
      </c>
      <c r="D103" s="8">
        <v>46064</v>
      </c>
      <c r="E103" s="7" t="s">
        <v>11</v>
      </c>
      <c r="F103" s="9">
        <v>0.34375</v>
      </c>
      <c r="G103" s="12">
        <v>8.1</v>
      </c>
      <c r="H103" s="2"/>
    </row>
    <row r="104" spans="1:8" x14ac:dyDescent="0.35">
      <c r="A104" s="6" t="s">
        <v>19</v>
      </c>
      <c r="B104" s="7" t="s">
        <v>20</v>
      </c>
      <c r="C104" s="7" t="s">
        <v>59</v>
      </c>
      <c r="D104" s="8">
        <v>46064</v>
      </c>
      <c r="E104" s="7" t="s">
        <v>22</v>
      </c>
      <c r="F104" s="9">
        <v>0.4375</v>
      </c>
      <c r="G104" s="12">
        <v>6.5</v>
      </c>
      <c r="H104" s="2"/>
    </row>
    <row r="105" spans="1:8" x14ac:dyDescent="0.35">
      <c r="A105" s="6" t="s">
        <v>24</v>
      </c>
      <c r="B105" s="7" t="s">
        <v>25</v>
      </c>
      <c r="C105" s="7" t="s">
        <v>64</v>
      </c>
      <c r="D105" s="8">
        <v>46064</v>
      </c>
      <c r="E105" s="7" t="s">
        <v>11</v>
      </c>
      <c r="F105" s="9">
        <v>0.34375</v>
      </c>
      <c r="G105" s="12">
        <v>7.5</v>
      </c>
      <c r="H105" s="2"/>
    </row>
    <row r="106" spans="1:8" x14ac:dyDescent="0.35">
      <c r="A106" s="6" t="s">
        <v>27</v>
      </c>
      <c r="B106" s="7" t="s">
        <v>28</v>
      </c>
      <c r="C106" s="7" t="s">
        <v>29</v>
      </c>
      <c r="D106" s="8">
        <v>46064</v>
      </c>
      <c r="E106" s="7" t="s">
        <v>11</v>
      </c>
      <c r="F106" s="9">
        <v>0.34722222222222221</v>
      </c>
      <c r="G106" s="12">
        <v>7.6</v>
      </c>
      <c r="H106" s="2"/>
    </row>
    <row r="107" spans="1:8" x14ac:dyDescent="0.35">
      <c r="A107" s="6" t="s">
        <v>30</v>
      </c>
      <c r="B107" s="7" t="s">
        <v>31</v>
      </c>
      <c r="C107" s="7" t="s">
        <v>9</v>
      </c>
      <c r="D107" s="8">
        <v>46064</v>
      </c>
      <c r="E107" s="7" t="s">
        <v>11</v>
      </c>
      <c r="F107" s="9">
        <v>0.34722222222222221</v>
      </c>
      <c r="G107" s="12">
        <v>8.1999999999999993</v>
      </c>
      <c r="H107" s="2"/>
    </row>
    <row r="108" spans="1:8" x14ac:dyDescent="0.35">
      <c r="A108" s="6" t="s">
        <v>32</v>
      </c>
      <c r="B108" s="7" t="s">
        <v>33</v>
      </c>
      <c r="C108" s="7" t="s">
        <v>59</v>
      </c>
      <c r="D108" s="8">
        <v>46064</v>
      </c>
      <c r="E108" s="7" t="s">
        <v>11</v>
      </c>
      <c r="F108" s="9">
        <v>0.34722222222222221</v>
      </c>
      <c r="G108" s="12">
        <v>8.3000000000000007</v>
      </c>
      <c r="H108" s="2"/>
    </row>
    <row r="109" spans="1:8" x14ac:dyDescent="0.35">
      <c r="A109" s="6" t="s">
        <v>37</v>
      </c>
      <c r="B109" s="7" t="s">
        <v>38</v>
      </c>
      <c r="C109" s="7" t="s">
        <v>29</v>
      </c>
      <c r="D109" s="8">
        <v>46064</v>
      </c>
      <c r="E109" s="7" t="s">
        <v>11</v>
      </c>
      <c r="F109" s="9">
        <v>0.34722222222222221</v>
      </c>
      <c r="G109" s="12">
        <v>8.9</v>
      </c>
      <c r="H109" s="2"/>
    </row>
    <row r="110" spans="1:8" x14ac:dyDescent="0.35">
      <c r="A110" s="6" t="s">
        <v>40</v>
      </c>
      <c r="B110" s="7" t="s">
        <v>41</v>
      </c>
      <c r="C110" s="7" t="s">
        <v>64</v>
      </c>
      <c r="D110" s="8">
        <v>46064</v>
      </c>
      <c r="E110" s="7" t="s">
        <v>11</v>
      </c>
      <c r="F110" s="9">
        <v>0.33680555555555558</v>
      </c>
      <c r="G110" s="12">
        <v>7.8</v>
      </c>
      <c r="H110" s="2"/>
    </row>
    <row r="111" spans="1:8" x14ac:dyDescent="0.35">
      <c r="A111" s="6" t="s">
        <v>42</v>
      </c>
      <c r="B111" s="7" t="s">
        <v>43</v>
      </c>
      <c r="C111" s="7" t="s">
        <v>9</v>
      </c>
      <c r="D111" s="8">
        <v>46064</v>
      </c>
      <c r="E111" s="7" t="s">
        <v>11</v>
      </c>
      <c r="F111" s="9">
        <v>0.33333333333333331</v>
      </c>
      <c r="G111" s="12">
        <v>8.3000000000000007</v>
      </c>
      <c r="H111" s="2"/>
    </row>
    <row r="112" spans="1:8" x14ac:dyDescent="0.35">
      <c r="A112" s="6" t="s">
        <v>7</v>
      </c>
      <c r="B112" s="7" t="s">
        <v>8</v>
      </c>
      <c r="C112" s="7" t="s">
        <v>9</v>
      </c>
      <c r="D112" s="8">
        <v>46065</v>
      </c>
      <c r="E112" s="7" t="s">
        <v>11</v>
      </c>
      <c r="F112" s="9">
        <v>0.33333333333333331</v>
      </c>
      <c r="G112" s="12">
        <v>8.9</v>
      </c>
      <c r="H112" s="2"/>
    </row>
    <row r="113" spans="1:8" x14ac:dyDescent="0.35">
      <c r="A113" s="6" t="s">
        <v>13</v>
      </c>
      <c r="B113" s="7" t="s">
        <v>14</v>
      </c>
      <c r="C113" s="7" t="s">
        <v>64</v>
      </c>
      <c r="D113" s="8">
        <v>46065</v>
      </c>
      <c r="E113" s="7" t="s">
        <v>11</v>
      </c>
      <c r="F113" s="9">
        <v>0.34027777777777779</v>
      </c>
      <c r="G113" s="12">
        <v>8.1999999999999993</v>
      </c>
      <c r="H113" s="2"/>
    </row>
    <row r="114" spans="1:8" x14ac:dyDescent="0.35">
      <c r="A114" s="6" t="s">
        <v>19</v>
      </c>
      <c r="B114" s="7" t="s">
        <v>20</v>
      </c>
      <c r="C114" s="7" t="s">
        <v>59</v>
      </c>
      <c r="D114" s="8">
        <v>46065</v>
      </c>
      <c r="E114" s="7" t="s">
        <v>22</v>
      </c>
      <c r="F114" s="9">
        <v>0.3888888888888889</v>
      </c>
      <c r="G114" s="12">
        <v>7.1</v>
      </c>
      <c r="H114" s="2"/>
    </row>
    <row r="115" spans="1:8" x14ac:dyDescent="0.35">
      <c r="A115" s="6" t="s">
        <v>24</v>
      </c>
      <c r="B115" s="7" t="s">
        <v>25</v>
      </c>
      <c r="C115" s="7" t="s">
        <v>64</v>
      </c>
      <c r="D115" s="8">
        <v>46065</v>
      </c>
      <c r="E115" s="7" t="s">
        <v>11</v>
      </c>
      <c r="F115" s="9">
        <v>0.34027777777777779</v>
      </c>
      <c r="G115" s="12">
        <v>7.8</v>
      </c>
      <c r="H115" s="2"/>
    </row>
    <row r="116" spans="1:8" x14ac:dyDescent="0.35">
      <c r="A116" s="6" t="s">
        <v>27</v>
      </c>
      <c r="B116" s="7" t="s">
        <v>28</v>
      </c>
      <c r="C116" s="7" t="s">
        <v>29</v>
      </c>
      <c r="D116" s="8">
        <v>46065</v>
      </c>
      <c r="E116" s="7" t="s">
        <v>11</v>
      </c>
      <c r="F116" s="9">
        <v>0.34722222222222221</v>
      </c>
      <c r="G116" s="12">
        <v>8.9</v>
      </c>
      <c r="H116" s="2"/>
    </row>
    <row r="117" spans="1:8" x14ac:dyDescent="0.35">
      <c r="A117" s="6" t="s">
        <v>30</v>
      </c>
      <c r="B117" s="7" t="s">
        <v>31</v>
      </c>
      <c r="C117" s="7" t="s">
        <v>9</v>
      </c>
      <c r="D117" s="8">
        <v>46065</v>
      </c>
      <c r="E117" s="7" t="s">
        <v>11</v>
      </c>
      <c r="F117" s="9">
        <v>0.34722222222222221</v>
      </c>
      <c r="G117" s="12">
        <v>8.6</v>
      </c>
      <c r="H117" s="2"/>
    </row>
    <row r="118" spans="1:8" x14ac:dyDescent="0.35">
      <c r="A118" s="6" t="s">
        <v>32</v>
      </c>
      <c r="B118" s="7" t="s">
        <v>33</v>
      </c>
      <c r="C118" s="7" t="s">
        <v>59</v>
      </c>
      <c r="D118" s="8">
        <v>46065</v>
      </c>
      <c r="E118" s="7" t="s">
        <v>11</v>
      </c>
      <c r="F118" s="9">
        <v>0.33680555555555558</v>
      </c>
      <c r="G118" s="12">
        <v>7.6</v>
      </c>
      <c r="H118" s="2"/>
    </row>
    <row r="119" spans="1:8" x14ac:dyDescent="0.35">
      <c r="A119" s="6" t="s">
        <v>37</v>
      </c>
      <c r="B119" s="7" t="s">
        <v>38</v>
      </c>
      <c r="C119" s="7" t="s">
        <v>29</v>
      </c>
      <c r="D119" s="8">
        <v>46065</v>
      </c>
      <c r="E119" s="7" t="s">
        <v>22</v>
      </c>
      <c r="F119" s="9">
        <v>0.4201388888888889</v>
      </c>
      <c r="G119" s="12">
        <v>6</v>
      </c>
      <c r="H119" s="2"/>
    </row>
    <row r="120" spans="1:8" x14ac:dyDescent="0.35">
      <c r="A120" s="6" t="s">
        <v>40</v>
      </c>
      <c r="B120" s="7" t="s">
        <v>41</v>
      </c>
      <c r="C120" s="7" t="s">
        <v>64</v>
      </c>
      <c r="D120" s="8">
        <v>46065</v>
      </c>
      <c r="E120" s="7" t="s">
        <v>11</v>
      </c>
      <c r="F120" s="9">
        <v>0.33680555555555558</v>
      </c>
      <c r="G120" s="12">
        <v>8.1999999999999993</v>
      </c>
      <c r="H120" s="2"/>
    </row>
    <row r="121" spans="1:8" x14ac:dyDescent="0.35">
      <c r="A121" s="6" t="s">
        <v>42</v>
      </c>
      <c r="B121" s="7" t="s">
        <v>43</v>
      </c>
      <c r="C121" s="7" t="s">
        <v>9</v>
      </c>
      <c r="D121" s="8">
        <v>46065</v>
      </c>
      <c r="E121" s="7" t="s">
        <v>11</v>
      </c>
      <c r="F121" s="9">
        <v>0.34027777777777779</v>
      </c>
      <c r="G121" s="12">
        <v>7.9</v>
      </c>
      <c r="H121" s="2"/>
    </row>
    <row r="122" spans="1:8" x14ac:dyDescent="0.35">
      <c r="A122" s="6" t="s">
        <v>7</v>
      </c>
      <c r="B122" s="7" t="s">
        <v>8</v>
      </c>
      <c r="C122" s="7" t="s">
        <v>9</v>
      </c>
      <c r="D122" s="8">
        <v>46066</v>
      </c>
      <c r="E122" s="7" t="s">
        <v>11</v>
      </c>
      <c r="F122" s="9">
        <v>0.34375</v>
      </c>
      <c r="G122" s="12">
        <v>8.1</v>
      </c>
      <c r="H122" s="2"/>
    </row>
    <row r="123" spans="1:8" x14ac:dyDescent="0.35">
      <c r="A123" s="6" t="s">
        <v>13</v>
      </c>
      <c r="B123" s="7" t="s">
        <v>14</v>
      </c>
      <c r="C123" s="7" t="s">
        <v>64</v>
      </c>
      <c r="D123" s="8">
        <v>46066</v>
      </c>
      <c r="E123" s="7" t="s">
        <v>11</v>
      </c>
      <c r="F123" s="9">
        <v>0.34375</v>
      </c>
      <c r="G123" s="12">
        <v>8.1</v>
      </c>
      <c r="H123" s="2"/>
    </row>
    <row r="124" spans="1:8" x14ac:dyDescent="0.35">
      <c r="A124" s="6" t="s">
        <v>19</v>
      </c>
      <c r="B124" s="7" t="s">
        <v>20</v>
      </c>
      <c r="C124" s="7" t="s">
        <v>59</v>
      </c>
      <c r="D124" s="8">
        <v>46066</v>
      </c>
      <c r="E124" s="7" t="s">
        <v>11</v>
      </c>
      <c r="F124" s="9">
        <v>0.34722222222222221</v>
      </c>
      <c r="G124" s="12">
        <v>8</v>
      </c>
      <c r="H124" s="2"/>
    </row>
    <row r="125" spans="1:8" x14ac:dyDescent="0.35">
      <c r="A125" s="6" t="s">
        <v>24</v>
      </c>
      <c r="B125" s="7" t="s">
        <v>25</v>
      </c>
      <c r="C125" s="7" t="s">
        <v>64</v>
      </c>
      <c r="D125" s="8">
        <v>46066</v>
      </c>
      <c r="E125" s="7" t="s">
        <v>11</v>
      </c>
      <c r="F125" s="9">
        <v>0.34375</v>
      </c>
      <c r="G125" s="12">
        <v>7.7</v>
      </c>
      <c r="H125" s="2"/>
    </row>
    <row r="126" spans="1:8" x14ac:dyDescent="0.35">
      <c r="A126" s="6" t="s">
        <v>27</v>
      </c>
      <c r="B126" s="7" t="s">
        <v>28</v>
      </c>
      <c r="C126" s="7" t="s">
        <v>29</v>
      </c>
      <c r="D126" s="8">
        <v>46066</v>
      </c>
      <c r="E126" s="7" t="s">
        <v>11</v>
      </c>
      <c r="F126" s="9">
        <v>0.33680555555555558</v>
      </c>
      <c r="G126" s="12">
        <v>8.5</v>
      </c>
      <c r="H126" s="2"/>
    </row>
    <row r="127" spans="1:8" x14ac:dyDescent="0.35">
      <c r="A127" s="6" t="s">
        <v>30</v>
      </c>
      <c r="B127" s="7" t="s">
        <v>31</v>
      </c>
      <c r="C127" s="7" t="s">
        <v>9</v>
      </c>
      <c r="D127" s="8">
        <v>46066</v>
      </c>
      <c r="E127" s="7" t="s">
        <v>11</v>
      </c>
      <c r="F127" s="9">
        <v>0.33333333333333331</v>
      </c>
      <c r="G127" s="12">
        <v>8.3000000000000007</v>
      </c>
      <c r="H127" s="2"/>
    </row>
    <row r="128" spans="1:8" x14ac:dyDescent="0.35">
      <c r="A128" s="6" t="s">
        <v>32</v>
      </c>
      <c r="B128" s="7" t="s">
        <v>33</v>
      </c>
      <c r="C128" s="7" t="s">
        <v>59</v>
      </c>
      <c r="D128" s="8">
        <v>46066</v>
      </c>
      <c r="E128" s="7" t="s">
        <v>11</v>
      </c>
      <c r="F128" s="9">
        <v>0.34027777777777779</v>
      </c>
      <c r="G128" s="12">
        <v>7.9</v>
      </c>
      <c r="H128" s="2"/>
    </row>
    <row r="129" spans="1:8" x14ac:dyDescent="0.35">
      <c r="A129" s="6" t="s">
        <v>37</v>
      </c>
      <c r="B129" s="7" t="s">
        <v>38</v>
      </c>
      <c r="C129" s="7" t="s">
        <v>29</v>
      </c>
      <c r="D129" s="8">
        <v>46066</v>
      </c>
      <c r="E129" s="7" t="s">
        <v>11</v>
      </c>
      <c r="F129" s="9">
        <v>0.33680555555555558</v>
      </c>
      <c r="G129" s="12">
        <v>9</v>
      </c>
      <c r="H129" s="2"/>
    </row>
    <row r="130" spans="1:8" x14ac:dyDescent="0.35">
      <c r="A130" s="6" t="s">
        <v>40</v>
      </c>
      <c r="B130" s="7" t="s">
        <v>41</v>
      </c>
      <c r="C130" s="7" t="s">
        <v>64</v>
      </c>
      <c r="D130" s="8">
        <v>46066</v>
      </c>
      <c r="E130" s="7" t="s">
        <v>11</v>
      </c>
      <c r="F130" s="9">
        <v>0.33333333333333331</v>
      </c>
      <c r="G130" s="12">
        <v>8.6999999999999993</v>
      </c>
      <c r="H130" s="2"/>
    </row>
    <row r="131" spans="1:8" x14ac:dyDescent="0.35">
      <c r="A131" s="6" t="s">
        <v>42</v>
      </c>
      <c r="B131" s="7" t="s">
        <v>43</v>
      </c>
      <c r="C131" s="7" t="s">
        <v>9</v>
      </c>
      <c r="D131" s="8">
        <v>46066</v>
      </c>
      <c r="E131" s="7" t="s">
        <v>11</v>
      </c>
      <c r="F131" s="9">
        <v>0.34375</v>
      </c>
      <c r="G131" s="12">
        <v>8.6999999999999993</v>
      </c>
      <c r="H131" s="2"/>
    </row>
    <row r="132" spans="1:8" x14ac:dyDescent="0.35">
      <c r="A132" s="6" t="s">
        <v>7</v>
      </c>
      <c r="B132" s="7" t="s">
        <v>8</v>
      </c>
      <c r="C132" s="7" t="s">
        <v>9</v>
      </c>
      <c r="D132" s="8">
        <v>46067</v>
      </c>
      <c r="E132" s="7" t="s">
        <v>11</v>
      </c>
      <c r="F132" s="9">
        <v>0.34722222222222221</v>
      </c>
      <c r="G132" s="12">
        <v>8.1999999999999993</v>
      </c>
      <c r="H132" s="2"/>
    </row>
    <row r="133" spans="1:8" x14ac:dyDescent="0.35">
      <c r="A133" s="6" t="s">
        <v>13</v>
      </c>
      <c r="B133" s="7" t="s">
        <v>14</v>
      </c>
      <c r="C133" s="7" t="s">
        <v>64</v>
      </c>
      <c r="D133" s="8">
        <v>46067</v>
      </c>
      <c r="E133" s="7" t="s">
        <v>11</v>
      </c>
      <c r="F133" s="9">
        <v>0.34027777777777779</v>
      </c>
      <c r="G133" s="12">
        <v>7.9</v>
      </c>
      <c r="H133" s="2"/>
    </row>
    <row r="134" spans="1:8" x14ac:dyDescent="0.35">
      <c r="A134" s="6" t="s">
        <v>19</v>
      </c>
      <c r="B134" s="7" t="s">
        <v>20</v>
      </c>
      <c r="C134" s="7" t="s">
        <v>59</v>
      </c>
      <c r="D134" s="8">
        <v>46067</v>
      </c>
      <c r="E134" s="7" t="s">
        <v>11</v>
      </c>
      <c r="F134" s="9">
        <v>0.34375</v>
      </c>
      <c r="G134" s="12">
        <v>8.6</v>
      </c>
      <c r="H134" s="2"/>
    </row>
    <row r="135" spans="1:8" x14ac:dyDescent="0.35">
      <c r="A135" s="6" t="s">
        <v>24</v>
      </c>
      <c r="B135" s="7" t="s">
        <v>25</v>
      </c>
      <c r="C135" s="7" t="s">
        <v>64</v>
      </c>
      <c r="D135" s="8">
        <v>46067</v>
      </c>
      <c r="E135" s="7" t="s">
        <v>17</v>
      </c>
      <c r="F135" s="9">
        <v>0</v>
      </c>
      <c r="G135" s="12">
        <v>0</v>
      </c>
      <c r="H135" s="2"/>
    </row>
    <row r="136" spans="1:8" x14ac:dyDescent="0.35">
      <c r="A136" s="6" t="s">
        <v>27</v>
      </c>
      <c r="B136" s="7" t="s">
        <v>28</v>
      </c>
      <c r="C136" s="7" t="s">
        <v>29</v>
      </c>
      <c r="D136" s="8">
        <v>46067</v>
      </c>
      <c r="E136" s="7" t="s">
        <v>22</v>
      </c>
      <c r="F136" s="9">
        <v>0.4201388888888889</v>
      </c>
      <c r="G136" s="12">
        <v>7.4</v>
      </c>
      <c r="H136" s="2"/>
    </row>
    <row r="137" spans="1:8" x14ac:dyDescent="0.35">
      <c r="A137" s="6" t="s">
        <v>30</v>
      </c>
      <c r="B137" s="7" t="s">
        <v>31</v>
      </c>
      <c r="C137" s="7" t="s">
        <v>9</v>
      </c>
      <c r="D137" s="8">
        <v>46067</v>
      </c>
      <c r="E137" s="7" t="s">
        <v>11</v>
      </c>
      <c r="F137" s="9">
        <v>0.34375</v>
      </c>
      <c r="G137" s="12">
        <v>8.4</v>
      </c>
      <c r="H137" s="2"/>
    </row>
    <row r="138" spans="1:8" x14ac:dyDescent="0.35">
      <c r="A138" s="6" t="s">
        <v>32</v>
      </c>
      <c r="B138" s="7" t="s">
        <v>33</v>
      </c>
      <c r="C138" s="7" t="s">
        <v>59</v>
      </c>
      <c r="D138" s="8">
        <v>46067</v>
      </c>
      <c r="E138" s="7" t="s">
        <v>11</v>
      </c>
      <c r="F138" s="9">
        <v>0.33333333333333331</v>
      </c>
      <c r="G138" s="12">
        <v>7.6</v>
      </c>
      <c r="H138" s="2"/>
    </row>
    <row r="139" spans="1:8" x14ac:dyDescent="0.35">
      <c r="A139" s="6" t="s">
        <v>37</v>
      </c>
      <c r="B139" s="7" t="s">
        <v>38</v>
      </c>
      <c r="C139" s="7" t="s">
        <v>29</v>
      </c>
      <c r="D139" s="8">
        <v>46067</v>
      </c>
      <c r="E139" s="7" t="s">
        <v>11</v>
      </c>
      <c r="F139" s="9">
        <v>0.34375</v>
      </c>
      <c r="G139" s="12">
        <v>8.9</v>
      </c>
      <c r="H139" s="2"/>
    </row>
    <row r="140" spans="1:8" x14ac:dyDescent="0.35">
      <c r="A140" s="6" t="s">
        <v>40</v>
      </c>
      <c r="B140" s="7" t="s">
        <v>41</v>
      </c>
      <c r="C140" s="7" t="s">
        <v>64</v>
      </c>
      <c r="D140" s="8">
        <v>46067</v>
      </c>
      <c r="E140" s="7" t="s">
        <v>11</v>
      </c>
      <c r="F140" s="9">
        <v>0.34027777777777779</v>
      </c>
      <c r="G140" s="12">
        <v>7.9</v>
      </c>
      <c r="H140" s="2"/>
    </row>
    <row r="141" spans="1:8" x14ac:dyDescent="0.35">
      <c r="A141" s="6" t="s">
        <v>42</v>
      </c>
      <c r="B141" s="7" t="s">
        <v>43</v>
      </c>
      <c r="C141" s="7" t="s">
        <v>9</v>
      </c>
      <c r="D141" s="8">
        <v>46067</v>
      </c>
      <c r="E141" s="7" t="s">
        <v>22</v>
      </c>
      <c r="F141" s="9">
        <v>0.39583333333333331</v>
      </c>
      <c r="G141" s="12">
        <v>6.3</v>
      </c>
      <c r="H141" s="2"/>
    </row>
    <row r="142" spans="1:8" x14ac:dyDescent="0.35">
      <c r="A142" s="6" t="s">
        <v>7</v>
      </c>
      <c r="B142" s="7" t="s">
        <v>8</v>
      </c>
      <c r="C142" s="7" t="s">
        <v>9</v>
      </c>
      <c r="D142" s="8">
        <v>46068</v>
      </c>
      <c r="E142" s="7" t="s">
        <v>22</v>
      </c>
      <c r="F142" s="9">
        <v>0.4236111111111111</v>
      </c>
      <c r="G142" s="12">
        <v>6.2</v>
      </c>
      <c r="H142" s="2"/>
    </row>
    <row r="143" spans="1:8" x14ac:dyDescent="0.35">
      <c r="A143" s="6" t="s">
        <v>13</v>
      </c>
      <c r="B143" s="7" t="s">
        <v>14</v>
      </c>
      <c r="C143" s="7" t="s">
        <v>64</v>
      </c>
      <c r="D143" s="8">
        <v>46068</v>
      </c>
      <c r="E143" s="7" t="s">
        <v>11</v>
      </c>
      <c r="F143" s="9">
        <v>0.34722222222222221</v>
      </c>
      <c r="G143" s="12">
        <v>8.5</v>
      </c>
      <c r="H143" s="2"/>
    </row>
    <row r="144" spans="1:8" x14ac:dyDescent="0.35">
      <c r="A144" s="6" t="s">
        <v>19</v>
      </c>
      <c r="B144" s="7" t="s">
        <v>20</v>
      </c>
      <c r="C144" s="7" t="s">
        <v>59</v>
      </c>
      <c r="D144" s="8">
        <v>46068</v>
      </c>
      <c r="E144" s="7" t="s">
        <v>11</v>
      </c>
      <c r="F144" s="9">
        <v>0.33680555555555558</v>
      </c>
      <c r="G144" s="12">
        <v>8.6</v>
      </c>
      <c r="H144" s="2"/>
    </row>
    <row r="145" spans="1:8" x14ac:dyDescent="0.35">
      <c r="A145" s="6" t="s">
        <v>24</v>
      </c>
      <c r="B145" s="7" t="s">
        <v>25</v>
      </c>
      <c r="C145" s="7" t="s">
        <v>64</v>
      </c>
      <c r="D145" s="8">
        <v>46068</v>
      </c>
      <c r="E145" s="7" t="s">
        <v>22</v>
      </c>
      <c r="F145" s="9">
        <v>0.43055555555555558</v>
      </c>
      <c r="G145" s="12">
        <v>7.3</v>
      </c>
      <c r="H145" s="2"/>
    </row>
    <row r="146" spans="1:8" x14ac:dyDescent="0.35">
      <c r="A146" s="6" t="s">
        <v>27</v>
      </c>
      <c r="B146" s="7" t="s">
        <v>28</v>
      </c>
      <c r="C146" s="7" t="s">
        <v>29</v>
      </c>
      <c r="D146" s="8">
        <v>46068</v>
      </c>
      <c r="E146" s="7" t="s">
        <v>17</v>
      </c>
      <c r="F146" s="9">
        <v>0</v>
      </c>
      <c r="G146" s="12">
        <v>0</v>
      </c>
      <c r="H146" s="2"/>
    </row>
    <row r="147" spans="1:8" x14ac:dyDescent="0.35">
      <c r="A147" s="6" t="s">
        <v>30</v>
      </c>
      <c r="B147" s="7" t="s">
        <v>31</v>
      </c>
      <c r="C147" s="7" t="s">
        <v>9</v>
      </c>
      <c r="D147" s="8">
        <v>46068</v>
      </c>
      <c r="E147" s="7" t="s">
        <v>11</v>
      </c>
      <c r="F147" s="9">
        <v>0.34027777777777779</v>
      </c>
      <c r="G147" s="12">
        <v>7.9</v>
      </c>
      <c r="H147" s="2"/>
    </row>
    <row r="148" spans="1:8" x14ac:dyDescent="0.35">
      <c r="A148" s="6" t="s">
        <v>32</v>
      </c>
      <c r="B148" s="7" t="s">
        <v>33</v>
      </c>
      <c r="C148" s="7" t="s">
        <v>59</v>
      </c>
      <c r="D148" s="8">
        <v>46068</v>
      </c>
      <c r="E148" s="7" t="s">
        <v>11</v>
      </c>
      <c r="F148" s="9">
        <v>0.33680555555555558</v>
      </c>
      <c r="G148" s="12">
        <v>8.8000000000000007</v>
      </c>
      <c r="H148" s="2"/>
    </row>
    <row r="149" spans="1:8" x14ac:dyDescent="0.35">
      <c r="A149" s="6" t="s">
        <v>37</v>
      </c>
      <c r="B149" s="7" t="s">
        <v>38</v>
      </c>
      <c r="C149" s="7" t="s">
        <v>29</v>
      </c>
      <c r="D149" s="8">
        <v>46068</v>
      </c>
      <c r="E149" s="7" t="s">
        <v>22</v>
      </c>
      <c r="F149" s="9">
        <v>0.38194444444444442</v>
      </c>
      <c r="G149" s="12">
        <v>6.2</v>
      </c>
      <c r="H149" s="2"/>
    </row>
    <row r="150" spans="1:8" x14ac:dyDescent="0.35">
      <c r="A150" s="6" t="s">
        <v>40</v>
      </c>
      <c r="B150" s="7" t="s">
        <v>41</v>
      </c>
      <c r="C150" s="7" t="s">
        <v>64</v>
      </c>
      <c r="D150" s="8">
        <v>46068</v>
      </c>
      <c r="E150" s="7" t="s">
        <v>11</v>
      </c>
      <c r="F150" s="9">
        <v>0.34375</v>
      </c>
      <c r="G150" s="12">
        <v>8.6999999999999993</v>
      </c>
      <c r="H150" s="2"/>
    </row>
    <row r="151" spans="1:8" x14ac:dyDescent="0.35">
      <c r="A151" s="14" t="s">
        <v>42</v>
      </c>
      <c r="B151" s="15" t="s">
        <v>43</v>
      </c>
      <c r="C151" s="15" t="s">
        <v>9</v>
      </c>
      <c r="D151" s="16">
        <v>46068</v>
      </c>
      <c r="E151" s="15" t="s">
        <v>11</v>
      </c>
      <c r="F151" s="17">
        <v>0.34375</v>
      </c>
      <c r="G151" s="18">
        <v>7.7</v>
      </c>
      <c r="H151" s="2"/>
    </row>
    <row r="152" spans="1:8" x14ac:dyDescent="0.35">
      <c r="H152" s="2"/>
    </row>
    <row r="153" spans="1:8" x14ac:dyDescent="0.35">
      <c r="H153" s="2"/>
    </row>
    <row r="154" spans="1:8" x14ac:dyDescent="0.35">
      <c r="H154" s="2"/>
    </row>
    <row r="155" spans="1:8" x14ac:dyDescent="0.35">
      <c r="H155" s="2"/>
    </row>
    <row r="156" spans="1:8" x14ac:dyDescent="0.35">
      <c r="H156" s="2"/>
    </row>
    <row r="157" spans="1:8" x14ac:dyDescent="0.35">
      <c r="H157" s="2"/>
    </row>
    <row r="158" spans="1:8" x14ac:dyDescent="0.35">
      <c r="H158" s="2"/>
    </row>
  </sheetData>
  <phoneticPr fontId="1"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B2ED-5888-4542-AD31-F21D5318524B}">
  <dimension ref="A1:R30"/>
  <sheetViews>
    <sheetView tabSelected="1" workbookViewId="0">
      <selection activeCell="F9" sqref="F9"/>
    </sheetView>
  </sheetViews>
  <sheetFormatPr defaultRowHeight="14.5" x14ac:dyDescent="0.35"/>
  <cols>
    <col min="1" max="1" width="12.36328125" bestFit="1" customWidth="1"/>
    <col min="2" max="2" width="13.90625" bestFit="1" customWidth="1"/>
    <col min="3" max="3" width="4.36328125" bestFit="1" customWidth="1"/>
    <col min="4" max="4" width="13.90625" bestFit="1" customWidth="1"/>
    <col min="5" max="5" width="15.26953125" bestFit="1" customWidth="1"/>
    <col min="6" max="6" width="8.1796875" customWidth="1"/>
    <col min="7" max="7" width="7.26953125" bestFit="1" customWidth="1"/>
    <col min="8" max="8" width="10.7265625" bestFit="1" customWidth="1"/>
    <col min="11" max="11" width="12.36328125" bestFit="1" customWidth="1"/>
    <col min="12" max="12" width="13.90625" bestFit="1" customWidth="1"/>
    <col min="14" max="14" width="13.90625" bestFit="1" customWidth="1"/>
    <col min="15" max="15" width="15.26953125" bestFit="1" customWidth="1"/>
    <col min="16" max="16" width="4.36328125" bestFit="1" customWidth="1"/>
    <col min="17" max="17" width="7.26953125" bestFit="1" customWidth="1"/>
    <col min="18" max="18" width="10.7265625" bestFit="1" customWidth="1"/>
    <col min="19" max="32" width="7.90625" bestFit="1" customWidth="1"/>
    <col min="33" max="33" width="10.7265625" bestFit="1" customWidth="1"/>
  </cols>
  <sheetData>
    <row r="1" spans="1:18" x14ac:dyDescent="0.35">
      <c r="D1" s="19" t="s">
        <v>4</v>
      </c>
      <c r="E1" t="s">
        <v>22</v>
      </c>
    </row>
    <row r="2" spans="1:18" x14ac:dyDescent="0.35">
      <c r="N2" s="19" t="s">
        <v>111</v>
      </c>
      <c r="O2" s="19" t="s">
        <v>110</v>
      </c>
    </row>
    <row r="3" spans="1:18" x14ac:dyDescent="0.35">
      <c r="A3" t="s">
        <v>109</v>
      </c>
      <c r="D3" s="19" t="s">
        <v>107</v>
      </c>
      <c r="E3" t="s">
        <v>111</v>
      </c>
      <c r="H3" t="s">
        <v>112</v>
      </c>
      <c r="J3" t="s">
        <v>114</v>
      </c>
      <c r="N3" s="19" t="s">
        <v>107</v>
      </c>
      <c r="O3" t="s">
        <v>17</v>
      </c>
      <c r="P3" t="s">
        <v>22</v>
      </c>
      <c r="Q3" t="s">
        <v>11</v>
      </c>
      <c r="R3" t="s">
        <v>108</v>
      </c>
    </row>
    <row r="4" spans="1:18" x14ac:dyDescent="0.35">
      <c r="A4" s="1">
        <v>150</v>
      </c>
      <c r="B4" s="1"/>
      <c r="D4" s="20" t="s">
        <v>29</v>
      </c>
      <c r="E4" s="1">
        <v>5</v>
      </c>
      <c r="H4">
        <f>COUNTIF(clean_data!E:E,"Absent")</f>
        <v>15</v>
      </c>
      <c r="J4">
        <f>COUNTIF(clean_data!E:E,"Late")</f>
        <v>26</v>
      </c>
      <c r="N4" s="22">
        <v>46054</v>
      </c>
      <c r="O4" s="1">
        <v>2</v>
      </c>
      <c r="P4" s="1">
        <v>3</v>
      </c>
      <c r="Q4" s="1">
        <v>5</v>
      </c>
      <c r="R4" s="1">
        <v>10</v>
      </c>
    </row>
    <row r="5" spans="1:18" x14ac:dyDescent="0.35">
      <c r="D5" s="20" t="s">
        <v>64</v>
      </c>
      <c r="E5" s="1">
        <v>6</v>
      </c>
      <c r="N5" s="22">
        <v>46055</v>
      </c>
      <c r="O5" s="1">
        <v>2</v>
      </c>
      <c r="P5" s="1">
        <v>1</v>
      </c>
      <c r="Q5" s="1">
        <v>7</v>
      </c>
      <c r="R5" s="1">
        <v>10</v>
      </c>
    </row>
    <row r="6" spans="1:18" x14ac:dyDescent="0.35">
      <c r="A6" s="19" t="s">
        <v>4</v>
      </c>
      <c r="B6" t="s">
        <v>17</v>
      </c>
      <c r="D6" s="20" t="s">
        <v>59</v>
      </c>
      <c r="E6" s="1">
        <v>7</v>
      </c>
      <c r="H6" t="s">
        <v>113</v>
      </c>
      <c r="J6" t="s">
        <v>115</v>
      </c>
      <c r="N6" s="22">
        <v>46056</v>
      </c>
      <c r="O6" s="1">
        <v>1</v>
      </c>
      <c r="P6" s="1">
        <v>2</v>
      </c>
      <c r="Q6" s="1">
        <v>7</v>
      </c>
      <c r="R6" s="1">
        <v>10</v>
      </c>
    </row>
    <row r="7" spans="1:18" x14ac:dyDescent="0.35">
      <c r="D7" s="20" t="s">
        <v>9</v>
      </c>
      <c r="E7" s="1">
        <v>8</v>
      </c>
      <c r="H7">
        <f>COUNTA(clean_data!A:A)-1</f>
        <v>150</v>
      </c>
      <c r="J7" s="23">
        <f>COUNTIF(clean_data!E:E,"Present")/COUNTA(clean_data!E:E)</f>
        <v>0.72185430463576161</v>
      </c>
      <c r="N7" s="22">
        <v>46057</v>
      </c>
      <c r="O7" s="1">
        <v>3</v>
      </c>
      <c r="P7" s="1"/>
      <c r="Q7" s="1">
        <v>7</v>
      </c>
      <c r="R7" s="1">
        <v>10</v>
      </c>
    </row>
    <row r="8" spans="1:18" x14ac:dyDescent="0.35">
      <c r="A8" s="19" t="s">
        <v>107</v>
      </c>
      <c r="B8" t="s">
        <v>111</v>
      </c>
      <c r="D8" s="20" t="s">
        <v>108</v>
      </c>
      <c r="E8" s="1">
        <v>26</v>
      </c>
      <c r="N8" s="22">
        <v>46058</v>
      </c>
      <c r="O8" s="1">
        <v>3</v>
      </c>
      <c r="P8" s="1">
        <v>1</v>
      </c>
      <c r="Q8" s="1">
        <v>6</v>
      </c>
      <c r="R8" s="1">
        <v>10</v>
      </c>
    </row>
    <row r="9" spans="1:18" x14ac:dyDescent="0.35">
      <c r="A9" s="20" t="s">
        <v>9</v>
      </c>
      <c r="B9" s="1">
        <v>2</v>
      </c>
      <c r="N9" s="22">
        <v>46059</v>
      </c>
      <c r="O9" s="1">
        <v>1</v>
      </c>
      <c r="P9" s="1">
        <v>1</v>
      </c>
      <c r="Q9" s="1">
        <v>8</v>
      </c>
      <c r="R9" s="1">
        <v>10</v>
      </c>
    </row>
    <row r="10" spans="1:18" x14ac:dyDescent="0.35">
      <c r="A10" s="20" t="s">
        <v>59</v>
      </c>
      <c r="B10" s="1">
        <v>2</v>
      </c>
      <c r="N10" s="22">
        <v>46060</v>
      </c>
      <c r="O10" s="1">
        <v>1</v>
      </c>
      <c r="P10" s="1">
        <v>2</v>
      </c>
      <c r="Q10" s="1">
        <v>7</v>
      </c>
      <c r="R10" s="1">
        <v>10</v>
      </c>
    </row>
    <row r="11" spans="1:18" x14ac:dyDescent="0.35">
      <c r="A11" s="20" t="s">
        <v>29</v>
      </c>
      <c r="B11" s="1">
        <v>3</v>
      </c>
      <c r="D11" s="19" t="s">
        <v>111</v>
      </c>
      <c r="E11" s="19" t="s">
        <v>110</v>
      </c>
      <c r="N11" s="22">
        <v>46061</v>
      </c>
      <c r="O11" s="1"/>
      <c r="P11" s="1">
        <v>3</v>
      </c>
      <c r="Q11" s="1">
        <v>7</v>
      </c>
      <c r="R11" s="1">
        <v>10</v>
      </c>
    </row>
    <row r="12" spans="1:18" x14ac:dyDescent="0.35">
      <c r="A12" s="20" t="s">
        <v>64</v>
      </c>
      <c r="B12" s="1">
        <v>8</v>
      </c>
      <c r="D12" s="19" t="s">
        <v>107</v>
      </c>
      <c r="E12" t="s">
        <v>17</v>
      </c>
      <c r="F12" t="s">
        <v>22</v>
      </c>
      <c r="G12" t="s">
        <v>11</v>
      </c>
      <c r="H12" t="s">
        <v>108</v>
      </c>
      <c r="N12" s="22">
        <v>46062</v>
      </c>
      <c r="O12" s="1"/>
      <c r="P12" s="1">
        <v>4</v>
      </c>
      <c r="Q12" s="1">
        <v>6</v>
      </c>
      <c r="R12" s="1">
        <v>10</v>
      </c>
    </row>
    <row r="13" spans="1:18" x14ac:dyDescent="0.35">
      <c r="A13" s="20" t="s">
        <v>108</v>
      </c>
      <c r="B13" s="1">
        <v>15</v>
      </c>
      <c r="D13" s="20" t="s">
        <v>8</v>
      </c>
      <c r="E13" s="1">
        <v>2</v>
      </c>
      <c r="F13" s="1">
        <v>3</v>
      </c>
      <c r="G13" s="1">
        <v>10</v>
      </c>
      <c r="H13" s="1">
        <v>15</v>
      </c>
      <c r="I13" s="21">
        <f>G13/H13</f>
        <v>0.66666666666666663</v>
      </c>
      <c r="N13" s="22">
        <v>46063</v>
      </c>
      <c r="O13" s="1"/>
      <c r="P13" s="1">
        <v>1</v>
      </c>
      <c r="Q13" s="1">
        <v>9</v>
      </c>
      <c r="R13" s="1">
        <v>10</v>
      </c>
    </row>
    <row r="14" spans="1:18" x14ac:dyDescent="0.35">
      <c r="A14" s="20"/>
      <c r="D14" s="20" t="s">
        <v>20</v>
      </c>
      <c r="E14" s="1"/>
      <c r="F14" s="1">
        <v>5</v>
      </c>
      <c r="G14" s="1">
        <v>10</v>
      </c>
      <c r="H14" s="1">
        <v>15</v>
      </c>
      <c r="I14" s="21">
        <f t="shared" ref="I14:I23" si="0">G14/H14</f>
        <v>0.66666666666666663</v>
      </c>
      <c r="N14" s="22">
        <v>46064</v>
      </c>
      <c r="O14" s="1"/>
      <c r="P14" s="1">
        <v>1</v>
      </c>
      <c r="Q14" s="1">
        <v>9</v>
      </c>
      <c r="R14" s="1">
        <v>10</v>
      </c>
    </row>
    <row r="15" spans="1:18" x14ac:dyDescent="0.35">
      <c r="D15" s="20" t="s">
        <v>31</v>
      </c>
      <c r="E15" s="1"/>
      <c r="F15" s="1">
        <v>1</v>
      </c>
      <c r="G15" s="1">
        <v>14</v>
      </c>
      <c r="H15" s="1">
        <v>15</v>
      </c>
      <c r="I15" s="21">
        <f t="shared" si="0"/>
        <v>0.93333333333333335</v>
      </c>
      <c r="K15" s="19" t="s">
        <v>107</v>
      </c>
      <c r="L15" t="s">
        <v>111</v>
      </c>
      <c r="N15" s="22">
        <v>46065</v>
      </c>
      <c r="O15" s="1"/>
      <c r="P15" s="1">
        <v>2</v>
      </c>
      <c r="Q15" s="1">
        <v>8</v>
      </c>
      <c r="R15" s="1">
        <v>10</v>
      </c>
    </row>
    <row r="16" spans="1:18" x14ac:dyDescent="0.35">
      <c r="D16" s="20" t="s">
        <v>33</v>
      </c>
      <c r="E16" s="1">
        <v>2</v>
      </c>
      <c r="F16" s="1">
        <v>2</v>
      </c>
      <c r="G16" s="1">
        <v>11</v>
      </c>
      <c r="H16" s="1">
        <v>15</v>
      </c>
      <c r="I16" s="21">
        <f t="shared" si="0"/>
        <v>0.73333333333333328</v>
      </c>
      <c r="K16" s="20" t="s">
        <v>17</v>
      </c>
      <c r="L16" s="1">
        <v>15</v>
      </c>
      <c r="M16" s="21">
        <f>L18/L19</f>
        <v>0.72666666666666668</v>
      </c>
      <c r="N16" s="22">
        <v>46066</v>
      </c>
      <c r="O16" s="1"/>
      <c r="P16" s="1"/>
      <c r="Q16" s="1">
        <v>10</v>
      </c>
      <c r="R16" s="1">
        <v>10</v>
      </c>
    </row>
    <row r="17" spans="1:18" x14ac:dyDescent="0.35">
      <c r="D17" s="20" t="s">
        <v>28</v>
      </c>
      <c r="E17" s="1">
        <v>2</v>
      </c>
      <c r="F17" s="1">
        <v>2</v>
      </c>
      <c r="G17" s="1">
        <v>11</v>
      </c>
      <c r="H17" s="1">
        <v>15</v>
      </c>
      <c r="I17" s="21">
        <f t="shared" si="0"/>
        <v>0.73333333333333328</v>
      </c>
      <c r="K17" s="20" t="s">
        <v>22</v>
      </c>
      <c r="L17" s="1">
        <v>26</v>
      </c>
      <c r="M17" s="21"/>
      <c r="N17" s="22">
        <v>46067</v>
      </c>
      <c r="O17" s="1">
        <v>1</v>
      </c>
      <c r="P17" s="1">
        <v>2</v>
      </c>
      <c r="Q17" s="1">
        <v>7</v>
      </c>
      <c r="R17" s="1">
        <v>10</v>
      </c>
    </row>
    <row r="18" spans="1:18" x14ac:dyDescent="0.35">
      <c r="D18" s="20" t="s">
        <v>25</v>
      </c>
      <c r="E18" s="1">
        <v>6</v>
      </c>
      <c r="F18" s="1">
        <v>3</v>
      </c>
      <c r="G18" s="1">
        <v>6</v>
      </c>
      <c r="H18" s="1">
        <v>15</v>
      </c>
      <c r="I18" s="21">
        <f t="shared" si="0"/>
        <v>0.4</v>
      </c>
      <c r="K18" s="20" t="s">
        <v>11</v>
      </c>
      <c r="L18" s="1">
        <v>109</v>
      </c>
      <c r="M18" s="21"/>
      <c r="N18" s="22">
        <v>46068</v>
      </c>
      <c r="O18" s="1">
        <v>1</v>
      </c>
      <c r="P18" s="1">
        <v>3</v>
      </c>
      <c r="Q18" s="1">
        <v>6</v>
      </c>
      <c r="R18" s="1">
        <v>10</v>
      </c>
    </row>
    <row r="19" spans="1:18" x14ac:dyDescent="0.35">
      <c r="D19" s="20" t="s">
        <v>41</v>
      </c>
      <c r="E19" s="1"/>
      <c r="F19" s="1">
        <v>3</v>
      </c>
      <c r="G19" s="1">
        <v>12</v>
      </c>
      <c r="H19" s="1">
        <v>15</v>
      </c>
      <c r="I19" s="21">
        <f t="shared" si="0"/>
        <v>0.8</v>
      </c>
      <c r="K19" s="20" t="s">
        <v>108</v>
      </c>
      <c r="L19" s="1">
        <v>150</v>
      </c>
      <c r="N19" s="22" t="s">
        <v>108</v>
      </c>
      <c r="O19" s="1">
        <v>15</v>
      </c>
      <c r="P19" s="1">
        <v>26</v>
      </c>
      <c r="Q19" s="1">
        <v>109</v>
      </c>
      <c r="R19" s="1">
        <v>150</v>
      </c>
    </row>
    <row r="20" spans="1:18" x14ac:dyDescent="0.35">
      <c r="D20" s="20" t="s">
        <v>38</v>
      </c>
      <c r="E20" s="1">
        <v>1</v>
      </c>
      <c r="F20" s="1">
        <v>3</v>
      </c>
      <c r="G20" s="1">
        <v>11</v>
      </c>
      <c r="H20" s="1">
        <v>15</v>
      </c>
      <c r="I20" s="21">
        <f t="shared" si="0"/>
        <v>0.73333333333333328</v>
      </c>
    </row>
    <row r="21" spans="1:18" x14ac:dyDescent="0.35">
      <c r="D21" s="20" t="s">
        <v>14</v>
      </c>
      <c r="E21" s="1">
        <v>2</v>
      </c>
      <c r="F21" s="1"/>
      <c r="G21" s="1">
        <v>13</v>
      </c>
      <c r="H21" s="1">
        <v>15</v>
      </c>
      <c r="I21" s="21">
        <f t="shared" si="0"/>
        <v>0.8666666666666667</v>
      </c>
    </row>
    <row r="22" spans="1:18" x14ac:dyDescent="0.35">
      <c r="D22" s="20" t="s">
        <v>43</v>
      </c>
      <c r="E22" s="1"/>
      <c r="F22" s="1">
        <v>4</v>
      </c>
      <c r="G22" s="1">
        <v>11</v>
      </c>
      <c r="H22" s="1">
        <v>15</v>
      </c>
      <c r="I22" s="21">
        <f t="shared" si="0"/>
        <v>0.73333333333333328</v>
      </c>
    </row>
    <row r="23" spans="1:18" x14ac:dyDescent="0.35">
      <c r="D23" s="20" t="s">
        <v>108</v>
      </c>
      <c r="E23" s="1">
        <v>15</v>
      </c>
      <c r="F23" s="1">
        <v>26</v>
      </c>
      <c r="G23" s="1">
        <v>109</v>
      </c>
      <c r="H23" s="1">
        <v>150</v>
      </c>
      <c r="I23" s="21"/>
    </row>
    <row r="24" spans="1:18" x14ac:dyDescent="0.35">
      <c r="A24" s="19" t="s">
        <v>111</v>
      </c>
      <c r="B24" s="19" t="s">
        <v>110</v>
      </c>
    </row>
    <row r="25" spans="1:18" x14ac:dyDescent="0.35">
      <c r="A25" s="19" t="s">
        <v>107</v>
      </c>
      <c r="B25" t="s">
        <v>17</v>
      </c>
      <c r="C25" t="s">
        <v>22</v>
      </c>
      <c r="D25" t="s">
        <v>11</v>
      </c>
      <c r="E25" t="s">
        <v>108</v>
      </c>
    </row>
    <row r="26" spans="1:18" x14ac:dyDescent="0.35">
      <c r="A26" s="20" t="s">
        <v>9</v>
      </c>
      <c r="B26" s="1">
        <v>2</v>
      </c>
      <c r="C26" s="1">
        <v>8</v>
      </c>
      <c r="D26" s="1">
        <v>35</v>
      </c>
      <c r="E26" s="1">
        <v>45</v>
      </c>
      <c r="F26" s="21">
        <f>D26/E26</f>
        <v>0.77777777777777779</v>
      </c>
    </row>
    <row r="27" spans="1:18" x14ac:dyDescent="0.35">
      <c r="A27" s="20" t="s">
        <v>59</v>
      </c>
      <c r="B27" s="1">
        <v>2</v>
      </c>
      <c r="C27" s="1">
        <v>7</v>
      </c>
      <c r="D27" s="1">
        <v>21</v>
      </c>
      <c r="E27" s="1">
        <v>30</v>
      </c>
      <c r="F27" s="21">
        <f t="shared" ref="F27:F30" si="1">D27/E27</f>
        <v>0.7</v>
      </c>
    </row>
    <row r="28" spans="1:18" x14ac:dyDescent="0.35">
      <c r="A28" s="20" t="s">
        <v>29</v>
      </c>
      <c r="B28" s="1">
        <v>3</v>
      </c>
      <c r="C28" s="1">
        <v>5</v>
      </c>
      <c r="D28" s="1">
        <v>22</v>
      </c>
      <c r="E28" s="1">
        <v>30</v>
      </c>
      <c r="F28" s="21">
        <f t="shared" si="1"/>
        <v>0.73333333333333328</v>
      </c>
    </row>
    <row r="29" spans="1:18" x14ac:dyDescent="0.35">
      <c r="A29" s="20" t="s">
        <v>64</v>
      </c>
      <c r="B29" s="1">
        <v>8</v>
      </c>
      <c r="C29" s="1">
        <v>6</v>
      </c>
      <c r="D29" s="1">
        <v>31</v>
      </c>
      <c r="E29" s="1">
        <v>45</v>
      </c>
      <c r="F29" s="21">
        <f t="shared" si="1"/>
        <v>0.68888888888888888</v>
      </c>
    </row>
    <row r="30" spans="1:18" x14ac:dyDescent="0.35">
      <c r="A30" s="20" t="s">
        <v>108</v>
      </c>
      <c r="B30" s="1">
        <v>15</v>
      </c>
      <c r="C30" s="1">
        <v>26</v>
      </c>
      <c r="D30" s="1">
        <v>109</v>
      </c>
      <c r="E30" s="1">
        <v>150</v>
      </c>
      <c r="F30"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6289-6D59-4B7B-BCF2-405F2F3FE55D}">
  <dimension ref="K5"/>
  <sheetViews>
    <sheetView showGridLines="0" zoomScale="80" zoomScaleNormal="80" workbookViewId="0">
      <selection activeCell="R10" sqref="R10"/>
    </sheetView>
  </sheetViews>
  <sheetFormatPr defaultRowHeight="14.5" x14ac:dyDescent="0.35"/>
  <sheetData>
    <row r="5" spans="11:11" x14ac:dyDescent="0.35">
      <c r="K5" t="s">
        <v>116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Attendance_Data</vt:lpstr>
      <vt:lpstr>clean_data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 Ogunshakin</cp:lastModifiedBy>
  <dcterms:created xsi:type="dcterms:W3CDTF">2026-03-09T08:51:52Z</dcterms:created>
  <dcterms:modified xsi:type="dcterms:W3CDTF">2026-03-15T16:08:52Z</dcterms:modified>
</cp:coreProperties>
</file>